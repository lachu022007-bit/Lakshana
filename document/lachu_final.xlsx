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0-Day Roadmap" sheetId="1" state="visible" r:id="rId3"/>
    <sheet name="Progress Dashboard" sheetId="2" state="visible" r:id="rId4"/>
    <sheet name="Summary &amp; Notes" sheetId="3" state="visible" r:id="rId5"/>
    <sheet name="Placement Parameters" sheetId="4" state="visible" r:id="rId6"/>
    <sheet name="Research Paper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<sst xmlns="http://schemas.openxmlformats.org/spreadsheetml/2006/main" count="1233" uniqueCount="348">
  <si>
    <t xml:space="preserve">Date</t>
  </si>
  <si>
    <t xml:space="preserve">Day</t>
  </si>
  <si>
    <t xml:space="preserve">Study
Day #</t>
  </si>
  <si>
    <t xml:space="preserve">Aptitude (3:30-4:30pm)</t>
  </si>
  <si>
    <t xml:space="preserve">DSA (5:00-6:00pm)</t>
  </si>
  <si>
    <t xml:space="preserve">Communication (6:00-6:30pm)</t>
  </si>
  <si>
    <t xml:space="preserve">Lesson (6:30-7:30pm)</t>
  </si>
  <si>
    <t xml:space="preserve">AI/ML (8:00-10:30pm)</t>
  </si>
  <si>
    <t xml:space="preserve">Aptitude ✓</t>
  </si>
  <si>
    <t xml:space="preserve">DSA ✓</t>
  </si>
  <si>
    <t xml:space="preserve">Comm ✓</t>
  </si>
  <si>
    <t xml:space="preserve">Lesson ✓</t>
  </si>
  <si>
    <t xml:space="preserve">AI/ML ✓</t>
  </si>
  <si>
    <t xml:space="preserve">Day %
Complete</t>
  </si>
  <si>
    <t xml:space="preserve">13-Aug-2026</t>
  </si>
  <si>
    <t xml:space="preserve">Thu</t>
  </si>
  <si>
    <t xml:space="preserve">Number System – naturals, primes, factors, divisibility rules</t>
  </si>
  <si>
    <t xml:space="preserve">Array basics – traversal, indexing, in-place ops</t>
  </si>
  <si>
    <t xml:space="preserve">Speak 2 min on a random topic (record &amp; play back)</t>
  </si>
  <si>
    <t xml:space="preserve">College syllabus / current coursework module</t>
  </si>
  <si>
    <t xml:space="preserve">AI/ML project work – Career Mentor / Interview Prep agent build, or ML concept study (rotate weekly)</t>
  </si>
  <si>
    <t xml:space="preserve">Not Started</t>
  </si>
  <si>
    <t xml:space="preserve">14-Aug-2026</t>
  </si>
  <si>
    <t xml:space="preserve">Fri</t>
  </si>
  <si>
    <t xml:space="preserve">HCF &amp; LCM – prime factorization, word problems</t>
  </si>
  <si>
    <t xml:space="preserve">Two-pointer technique – pair sum, sorted array problems</t>
  </si>
  <si>
    <t xml:space="preserve">Read a news/tech article aloud, note 5 new words</t>
  </si>
  <si>
    <t xml:space="preserve">GitHub / GSSoC — work toward 1 valid PR to approved external repo</t>
  </si>
  <si>
    <t xml:space="preserve">15-Aug-2026</t>
  </si>
  <si>
    <t xml:space="preserve">Sat</t>
  </si>
  <si>
    <t xml:space="preserve">Divisibility &amp; Remainders – tests, remainder theorem, cyclicity, last digit</t>
  </si>
  <si>
    <t xml:space="preserve">Sliding window (fixed size) – max/min subarray of size k</t>
  </si>
  <si>
    <t xml:space="preserve">Mock self-intro (60 sec) – refine for interviews</t>
  </si>
  <si>
    <t xml:space="preserve">16-Aug-2026</t>
  </si>
  <si>
    <t xml:space="preserve">Sun</t>
  </si>
  <si>
    <t xml:space="preserve">REST DAY — no scheduled tasks</t>
  </si>
  <si>
    <t xml:space="preserve">Skipped</t>
  </si>
  <si>
    <t xml:space="preserve">17-Aug-2026</t>
  </si>
  <si>
    <t xml:space="preserve">Mon</t>
  </si>
  <si>
    <t xml:space="preserve">Percentages – conversion, increase/decrease, successive %</t>
  </si>
  <si>
    <t xml:space="preserve">Prefix sums – range sum queries, subarray sum = k</t>
  </si>
  <si>
    <t xml:space="preserve">Shadow a native-speaker podcast (5 min) for pronunciation</t>
  </si>
  <si>
    <t xml:space="preserve">NPTEL (Database Management System) module study</t>
  </si>
  <si>
    <t xml:space="preserve">18-Aug-2026</t>
  </si>
  <si>
    <t xml:space="preserve">Tue</t>
  </si>
  <si>
    <t xml:space="preserve">Ratio &amp; Proportion – direct/inverse, sharing quantities</t>
  </si>
  <si>
    <t xml:space="preserve">Practice: 'Two Sum' + 'Container With Most Water'</t>
  </si>
  <si>
    <t xml:space="preserve">Elevator pitch practice – 'Tell me about yourself' (2 min)</t>
  </si>
  <si>
    <t xml:space="preserve">19-Aug-2026</t>
  </si>
  <si>
    <t xml:space="preserve">Wed</t>
  </si>
  <si>
    <t xml:space="preserve">WEEK 1 TEST – Number System/HCF-LCM/%/Ratio (Target 70%+)</t>
  </si>
  <si>
    <t xml:space="preserve">WEEK REVISION – redo Week 1 array problems, note mistakes</t>
  </si>
  <si>
    <t xml:space="preserve">Weekly reflection – record a 3-min answer to a common HR question</t>
  </si>
  <si>
    <t xml:space="preserve">20-Aug-2026</t>
  </si>
  <si>
    <t xml:space="preserve">Average – simple, weighted, age, marks, speed</t>
  </si>
  <si>
    <t xml:space="preserve">String basics – manipulation, parsing, in-place reversal</t>
  </si>
  <si>
    <t xml:space="preserve">21-Aug-2026</t>
  </si>
  <si>
    <t xml:space="preserve">Profit &amp; Loss – CP, SP, MP, discount, profit/loss %</t>
  </si>
  <si>
    <t xml:space="preserve">Hashing fundamentals – hashmap for frequency counting</t>
  </si>
  <si>
    <t xml:space="preserve">22-Aug-2026</t>
  </si>
  <si>
    <t xml:space="preserve">Simple Interest – SI=PRT/100, principal/rate/time/amount</t>
  </si>
  <si>
    <t xml:space="preserve">Sliding window on strings – 'Longest Repeating Char Replacement'</t>
  </si>
  <si>
    <t xml:space="preserve">23-Aug-2026</t>
  </si>
  <si>
    <t xml:space="preserve">24-Aug-2026</t>
  </si>
  <si>
    <t xml:space="preserve">Problems on Ages – present/past/future age, age ratios</t>
  </si>
  <si>
    <t xml:space="preserve">Hash-based problems – 'Valid Anagram', grouping</t>
  </si>
  <si>
    <t xml:space="preserve">25-Aug-2026</t>
  </si>
  <si>
    <t xml:space="preserve">Partnership – investment × time, profit sharing</t>
  </si>
  <si>
    <t xml:space="preserve">Practice: 'Top K Frequent Elements'</t>
  </si>
  <si>
    <t xml:space="preserve">26-Aug-2026</t>
  </si>
  <si>
    <t xml:space="preserve">WEEK 2 TEST – Avg/P&amp;L/SI-CI/Ages/Partnership (Target 75%+)</t>
  </si>
  <si>
    <t xml:space="preserve">WEEK REVISION – redo Week 2 string/hash problems</t>
  </si>
  <si>
    <t xml:space="preserve">27-Aug-2026</t>
  </si>
  <si>
    <t xml:space="preserve">Time &amp; Work – efficiency, work/day, combined work</t>
  </si>
  <si>
    <t xml:space="preserve">Linked list basics – traversal, insert/delete</t>
  </si>
  <si>
    <t xml:space="preserve">28-Aug-2026</t>
  </si>
  <si>
    <t xml:space="preserve">Pipes &amp; Cisterns – filling, emptying, combined pipes</t>
  </si>
  <si>
    <t xml:space="preserve">Linked list reversal – iterative &amp; recursive, 'Reverse Nodes in k-Group'</t>
  </si>
  <si>
    <t xml:space="preserve">29-Aug-2026</t>
  </si>
  <si>
    <t xml:space="preserve">Time, Speed &amp; Distance – core formulas, basic problems</t>
  </si>
  <si>
    <t xml:space="preserve">Linked list merge/cycle – 'Merge k Sorted Lists', cycle detection</t>
  </si>
  <si>
    <t xml:space="preserve">30-Aug-2026</t>
  </si>
  <si>
    <t xml:space="preserve">31-Aug-2026</t>
  </si>
  <si>
    <t xml:space="preserve">Trains – crossing person/platform, two trains crossing</t>
  </si>
  <si>
    <t xml:space="preserve">Monotonic stack – 'Trapping Rain Water'</t>
  </si>
  <si>
    <t xml:space="preserve">01-Sep-2026</t>
  </si>
  <si>
    <t xml:space="preserve">MODEL 1 EXAM</t>
  </si>
  <si>
    <t xml:space="preserve">EXAM PREP – revise subject notes/mistake book (aptitude paused)</t>
  </si>
  <si>
    <t xml:space="preserve">EXAM PREP – light DSA revision only (30 min max) or skip</t>
  </si>
  <si>
    <t xml:space="preserve">Skip / light reading</t>
  </si>
  <si>
    <t xml:space="preserve">Exam study block</t>
  </si>
  <si>
    <t xml:space="preserve">02-Sep-2026</t>
  </si>
  <si>
    <t xml:space="preserve">03-Sep-2026</t>
  </si>
  <si>
    <t xml:space="preserve">04-Sep-2026</t>
  </si>
  <si>
    <t xml:space="preserve">05-Sep-2026</t>
  </si>
  <si>
    <t xml:space="preserve">06-Sep-2026</t>
  </si>
  <si>
    <t xml:space="preserve">07-Sep-2026</t>
  </si>
  <si>
    <t xml:space="preserve">08-Sep-2026</t>
  </si>
  <si>
    <t xml:space="preserve">09-Sep-2026</t>
  </si>
  <si>
    <t xml:space="preserve">Boats &amp; Streams – upstream/downstream, still-water speed</t>
  </si>
  <si>
    <t xml:space="preserve">Queue &amp; design problems – queue via two stacks</t>
  </si>
  <si>
    <t xml:space="preserve">10-Sep-2026</t>
  </si>
  <si>
    <t xml:space="preserve">WEEK 3 TEST – TSD+Work+Trains+Boats (30 Qs in 40 min)</t>
  </si>
  <si>
    <t xml:space="preserve">WEEK REVISION – redo Week 3 list/stack/queue problems</t>
  </si>
  <si>
    <t xml:space="preserve">11-Sep-2026</t>
  </si>
  <si>
    <t xml:space="preserve">Mixtures &amp; Alligation – replacement, weighted avg</t>
  </si>
  <si>
    <t xml:space="preserve">Binary tree traversal – pre/in/post-order (recursive &amp; iterative)</t>
  </si>
  <si>
    <t xml:space="preserve">12-Sep-2026</t>
  </si>
  <si>
    <t xml:space="preserve">Probability – sample space, events, P(E)=favorable/total</t>
  </si>
  <si>
    <t xml:space="preserve">Level order traversal – 'Binary Tree Level Order Traversal' (BFS)</t>
  </si>
  <si>
    <t xml:space="preserve">13-Sep-2026</t>
  </si>
  <si>
    <t xml:space="preserve">14-Sep-2026</t>
  </si>
  <si>
    <t xml:space="preserve">Combination – nCr = n!/[r!(n-r)!], P vs C</t>
  </si>
  <si>
    <t xml:space="preserve">Tree recursion patterns – 'Lowest Common Ancestor'</t>
  </si>
  <si>
    <t xml:space="preserve">Group discussion practice topic (write 5 points, argue aloud)</t>
  </si>
  <si>
    <t xml:space="preserve">15-Sep-2026</t>
  </si>
  <si>
    <t xml:space="preserve">Algebra Basics – linear/quadratic equations, identities</t>
  </si>
  <si>
    <t xml:space="preserve">Tree design – 'Serialize/Deserialize BST'</t>
  </si>
  <si>
    <t xml:space="preserve">16-Sep-2026</t>
  </si>
  <si>
    <t xml:space="preserve">Geometry – lines, angles, triangles, quadrilaterals, circles</t>
  </si>
  <si>
    <t xml:space="preserve">Tries &amp; Fenwick/segment tree basics</t>
  </si>
  <si>
    <t xml:space="preserve">17-Sep-2026</t>
  </si>
  <si>
    <t xml:space="preserve">Mensuration – area, perimeter, volume, surface area</t>
  </si>
  <si>
    <t xml:space="preserve">WEEK REVISION – redo Week 4 tree problems</t>
  </si>
  <si>
    <t xml:space="preserve">18-Sep-2026</t>
  </si>
  <si>
    <t xml:space="preserve">Data Interpretation – tables, bar/pie/line graphs</t>
  </si>
  <si>
    <t xml:space="preserve">Graph representation – adjacency list/matrix, DFS basics</t>
  </si>
  <si>
    <t xml:space="preserve">19-Sep-2026</t>
  </si>
  <si>
    <t xml:space="preserve">QUANT FULL TEST – Mixed Days 1-29 (60 min, log score/accuracy)</t>
  </si>
  <si>
    <t xml:space="preserve">BFS traversal – 'Number of Islands' (grid BFS)</t>
  </si>
  <si>
    <t xml:space="preserve">20-Sep-2026</t>
  </si>
  <si>
    <t xml:space="preserve">21-Sep-2026</t>
  </si>
  <si>
    <t xml:space="preserve">Alphabet Series – positions, forward/backward, letter patterns</t>
  </si>
  <si>
    <t xml:space="preserve">Shortest path basics – BFS for unweighted graphs</t>
  </si>
  <si>
    <t xml:space="preserve">22-Sep-2026</t>
  </si>
  <si>
    <t xml:space="preserve">Coding &amp; Decoding – letter/number/symbol/mixed coding</t>
  </si>
  <si>
    <t xml:space="preserve">Grid/matrix BFS – 'Word Ladder'</t>
  </si>
  <si>
    <t xml:space="preserve">23-Sep-2026</t>
  </si>
  <si>
    <t xml:space="preserve">Analogy – number/letter/word analogy</t>
  </si>
  <si>
    <t xml:space="preserve">Cycle detection &amp; spanning trees</t>
  </si>
  <si>
    <t xml:space="preserve">24-Sep-2026</t>
  </si>
  <si>
    <t xml:space="preserve">Classification – odd one out, number/letter/word classification</t>
  </si>
  <si>
    <t xml:space="preserve">WEEK REVISION – redo Week 5 graph problems</t>
  </si>
  <si>
    <t xml:space="preserve">25-Sep-2026</t>
  </si>
  <si>
    <t xml:space="preserve">Blood Relations – family tree, generation, maternal/paternal</t>
  </si>
  <si>
    <t xml:space="preserve">Priority queue/heap basics – 'Kth Largest Element'</t>
  </si>
  <si>
    <t xml:space="preserve">26-Sep-2026</t>
  </si>
  <si>
    <t xml:space="preserve">WEEK 5 TEST – Series/Coding/Analogy/Classification/Relations</t>
  </si>
  <si>
    <t xml:space="preserve">Heap merge problems – 'Merge k Lists' (heap approach)</t>
  </si>
  <si>
    <t xml:space="preserve">27-Sep-2026</t>
  </si>
  <si>
    <t xml:space="preserve">28-Sep-2026</t>
  </si>
  <si>
    <t xml:space="preserve">Ranking &amp; Ordering – rank from left/right, position problems</t>
  </si>
  <si>
    <t xml:space="preserve">Binary search variants – 'Search in Rotated Sorted Array'</t>
  </si>
  <si>
    <t xml:space="preserve">29-Sep-2026</t>
  </si>
  <si>
    <t xml:space="preserve">Syllogism – statements, conclusions, Venn diagram method</t>
  </si>
  <si>
    <t xml:space="preserve">Heap scheduling – 'Meeting Rooms II'</t>
  </si>
  <si>
    <t xml:space="preserve">30-Sep-2026</t>
  </si>
  <si>
    <t xml:space="preserve">Statement &amp; Conclusion – assumption, inference</t>
  </si>
  <si>
    <t xml:space="preserve">Bitwise basics – 'Counting Bits', bit masks</t>
  </si>
  <si>
    <t xml:space="preserve">01-Oct-2026</t>
  </si>
  <si>
    <t xml:space="preserve">Seating Arrangement – linear &amp; circular arrangement</t>
  </si>
  <si>
    <t xml:space="preserve">WEEK REVISION – redo Week 6 heap/sort/math problems</t>
  </si>
  <si>
    <t xml:space="preserve">02-Oct-2026</t>
  </si>
  <si>
    <t xml:space="preserve">Puzzles – floor puzzles, scheduling, position puzzles</t>
  </si>
  <si>
    <t xml:space="preserve">DP basics – 1D DP, 'House Robber'</t>
  </si>
  <si>
    <t xml:space="preserve">03-Oct-2026</t>
  </si>
  <si>
    <t xml:space="preserve">REASONING TEST – Mixed (60 min)</t>
  </si>
  <si>
    <t xml:space="preserve">Knapsack pattern – 0/1 knapsack, coin change</t>
  </si>
  <si>
    <t xml:space="preserve">04-Oct-2026</t>
  </si>
  <si>
    <t xml:space="preserve">05-Oct-2026</t>
  </si>
  <si>
    <t xml:space="preserve">MODEL 2 EXAM</t>
  </si>
  <si>
    <t xml:space="preserve">06-Oct-2026</t>
  </si>
  <si>
    <t xml:space="preserve">07-Oct-2026</t>
  </si>
  <si>
    <t xml:space="preserve">08-Oct-2026</t>
  </si>
  <si>
    <t xml:space="preserve">09-Oct-2026</t>
  </si>
  <si>
    <t xml:space="preserve">10-Oct-2026</t>
  </si>
  <si>
    <t xml:space="preserve">11-Oct-2026</t>
  </si>
  <si>
    <t xml:space="preserve">12-Oct-2026</t>
  </si>
  <si>
    <t xml:space="preserve">13-Oct-2026</t>
  </si>
  <si>
    <t xml:space="preserve">14-Oct-2026</t>
  </si>
  <si>
    <t xml:space="preserve">Tenses – present/past/future/perfect/continuous, error detection</t>
  </si>
  <si>
    <t xml:space="preserve">Grid DP – unique paths, min path sum</t>
  </si>
  <si>
    <t xml:space="preserve">15-Oct-2026</t>
  </si>
  <si>
    <t xml:space="preserve">Subject-Verb Agreement – singular/plural rules (20 Qs)</t>
  </si>
  <si>
    <t xml:space="preserve">Heap+DP – 'Median in a Stream'</t>
  </si>
  <si>
    <t xml:space="preserve">16-Oct-2026</t>
  </si>
  <si>
    <t xml:space="preserve">Articles &amp; Prepositions – a/an/the, in/on/at/by/for/from</t>
  </si>
  <si>
    <t xml:space="preserve">Greedy – 'Interval Scheduling', 'Gas Station'</t>
  </si>
  <si>
    <t xml:space="preserve">17-Oct-2026</t>
  </si>
  <si>
    <t xml:space="preserve">Sentence Correction – grammar errors, word usage, structure</t>
  </si>
  <si>
    <t xml:space="preserve">WEEK REVISION – redo Week 7 DP/greedy problems</t>
  </si>
  <si>
    <t xml:space="preserve">18-Oct-2026</t>
  </si>
  <si>
    <t xml:space="preserve">19-Oct-2026</t>
  </si>
  <si>
    <t xml:space="preserve">Reading Comprehension – main idea, inference, tone (2-3 passages)</t>
  </si>
  <si>
    <t xml:space="preserve">Re-solve 2-3 missed Week 3-4 problems</t>
  </si>
  <si>
    <t xml:space="preserve">20-Oct-2026</t>
  </si>
  <si>
    <t xml:space="preserve">VERBAL TEST – Grammar/Vocab/Correction/RC</t>
  </si>
  <si>
    <t xml:space="preserve">Re-solve 2-3 missed Week 5-6 problems</t>
  </si>
  <si>
    <t xml:space="preserve">21-Oct-2026</t>
  </si>
  <si>
    <t xml:space="preserve">QUANT MOCK 1 – 60 min, calc accuracy = correct/attempted×100</t>
  </si>
  <si>
    <t xml:space="preserve">Re-solve 2-3 missed Week 7 (DP/Greedy) problems</t>
  </si>
  <si>
    <t xml:space="preserve">22-Oct-2026</t>
  </si>
  <si>
    <t xml:space="preserve">REASONING MOCK 1 – Series/Coding/Relations/Direction/Syllogism/Puzzles</t>
  </si>
  <si>
    <t xml:space="preserve">Timed mock interview 1 (45-60 min, random topic)</t>
  </si>
  <si>
    <t xml:space="preserve">23-Oct-2026</t>
  </si>
  <si>
    <t xml:space="preserve">VERBAL MOCK – Grammar/Vocab/Error detection/RC</t>
  </si>
  <si>
    <t xml:space="preserve">Timed mock interview 2 (45-60 min, random topic)</t>
  </si>
  <si>
    <t xml:space="preserve">24-Oct-2026</t>
  </si>
  <si>
    <t xml:space="preserve">Quant Weak Areas – revisit mistake book, redo weak topics only</t>
  </si>
  <si>
    <t xml:space="preserve">Timed mock interview 3 + review error log</t>
  </si>
  <si>
    <t xml:space="preserve">25-Oct-2026</t>
  </si>
  <si>
    <t xml:space="preserve">26-Oct-2026</t>
  </si>
  <si>
    <t xml:space="preserve">MODEL 3 EXAM</t>
  </si>
  <si>
    <t xml:space="preserve">27-Oct-2026</t>
  </si>
  <si>
    <t xml:space="preserve">28-Oct-2026</t>
  </si>
  <si>
    <t xml:space="preserve">29-Oct-2026</t>
  </si>
  <si>
    <t xml:space="preserve">30-Oct-2026</t>
  </si>
  <si>
    <t xml:space="preserve">31-Oct-2026</t>
  </si>
  <si>
    <t xml:space="preserve">01-Nov-2026</t>
  </si>
  <si>
    <t xml:space="preserve">02-Nov-2026</t>
  </si>
  <si>
    <t xml:space="preserve">03-Nov-2026</t>
  </si>
  <si>
    <t xml:space="preserve">04-Nov-2026</t>
  </si>
  <si>
    <t xml:space="preserve">FULL PLACEMENT MOCK – 20 Quant+20 Reasoning+20 Verbal, 60 min</t>
  </si>
  <si>
    <t xml:space="preserve">Company focus: Amazon patterns – hash tables + sliding window mix</t>
  </si>
  <si>
    <t xml:space="preserve">05-Nov-2026</t>
  </si>
  <si>
    <t xml:space="preserve">Mistake Book Revision – formulas, shortcuts, repeated errors</t>
  </si>
  <si>
    <t xml:space="preserve">Company focus: Meta patterns – sliding window + design problems</t>
  </si>
  <si>
    <t xml:space="preserve">06-Nov-2026</t>
  </si>
  <si>
    <t xml:space="preserve">FINAL GRAND TEST – full placement aptitude test + result log</t>
  </si>
  <si>
    <t xml:space="preserve">Company focus: Flipkart/Zomato patterns – grid BFS + hashing (India-focused)</t>
  </si>
  <si>
    <t xml:space="preserve">PLACEMENT PREP – PROGRESS DASHBOARD</t>
  </si>
  <si>
    <t xml:space="preserve">All figures below update automatically from the '60-Day Roadmap' sheet.</t>
  </si>
  <si>
    <t xml:space="preserve">Subject</t>
  </si>
  <si>
    <t xml:space="preserve">Done</t>
  </si>
  <si>
    <t xml:space="preserve">In Progress</t>
  </si>
  <si>
    <t xml:space="preserve">Completion %</t>
  </si>
  <si>
    <t xml:space="preserve">Aptitude</t>
  </si>
  <si>
    <t xml:space="preserve">DSA</t>
  </si>
  <si>
    <t xml:space="preserve">Communication</t>
  </si>
  <si>
    <t xml:space="preserve">Lesson</t>
  </si>
  <si>
    <t xml:space="preserve">AI/ML</t>
  </si>
  <si>
    <t xml:space="preserve">OVERALL</t>
  </si>
  <si>
    <t xml:space="preserve">Study days fully completed (Day %=100%)</t>
  </si>
  <si>
    <t xml:space="preserve">Total study days in plan</t>
  </si>
  <si>
    <t xml:space="preserve">Exam blackout days (auto-marked Skipped)</t>
  </si>
  <si>
    <t xml:space="preserve">Overall plan completion</t>
  </si>
  <si>
    <t xml:space="preserve">HOW TO TRACK: Each day, open the '60-Day Roadmap' sheet and set the 5 status cells (Aptitude/DSA/Comm/Lesson/AI/ML) to Done, In Progress, Not Started, or Skipped via the dropdown. This dashboard and the 'Day % Complete' column update automatically.</t>
  </si>
  <si>
    <t xml:space="preserve">TODAY'S FOCUS (auto-updates to today's date)</t>
  </si>
  <si>
    <t xml:space="preserve">Today's date</t>
  </si>
  <si>
    <t xml:space="preserve">Study Day #</t>
  </si>
  <si>
    <t xml:space="preserve">Day % Complete</t>
  </si>
  <si>
    <t xml:space="preserve">Task for Today</t>
  </si>
  <si>
    <t xml:space="preserve">Status</t>
  </si>
  <si>
    <t xml:space="preserve">Tip: To mark today's tasks Done, go to the '60-Day Roadmap' sheet, find today's row, and update the ✓ status columns (I-M) — this section updates automatically.</t>
  </si>
  <si>
    <t xml:space="preserve">PLACEMENT PREP ROADMAP – SUMMARY</t>
  </si>
  <si>
    <t xml:space="preserve">RULE: On any day I have a college exam, I only prepare for that exam that day — skip Aptitude/DSA/Comm/Lesson/AI/ML for that day and mark those 5 status cells 'Skipped' in the 60-Day Roadmap.</t>
  </si>
  <si>
    <t xml:space="preserve">Start date: 13-Aug-2026   |   End date: 11-Oct-2026</t>
  </si>
  <si>
    <t xml:space="preserve">Total study days: 60 (Aptitude + DSA + Communication + Lesson + AI/ML)</t>
  </si>
  <si>
    <t xml:space="preserve">Total calendar span includes 3 exam blackout periods where daily plan pauses:</t>
  </si>
  <si>
    <t xml:space="preserve">  • Model 1: 29 Aug – 5 Sep 2026 (8 days)</t>
  </si>
  <si>
    <t xml:space="preserve">  • Model 2: 2 Oct – 10 Oct 2026 (9 days)</t>
  </si>
  <si>
    <t xml:space="preserve">  • Model 3: 23 Oct – 31 Oct 2026 (9 days)</t>
  </si>
  <si>
    <t xml:space="preserve">On exam days, the daily plan is replaced with exam revision — the 60 study days resume right after each exam ends, so you still get the full 60 days of placement prep.</t>
  </si>
  <si>
    <t xml:space="preserve">REST RULE: Sundays are fully free — no scheduled tasks. All weekend-only prep items (competition, SIH/IEEE, GATE, language, PEP/HOPE) now sit on Saturday only.</t>
  </si>
  <si>
    <t xml:space="preserve">HOW TO USE</t>
  </si>
  <si>
    <t xml:space="preserve">• Aptitude column follows a fixed 60-day topic sequence (Number System → Final Grand Test), matching your Executive_Summary/Aptitude source.</t>
  </si>
  <si>
    <t xml:space="preserve">• DSA column follows the 8-week pattern roadmap (Arrays→Strings→Lists/Stacks→Trees→Graphs→Heaps/Sort→DP/Greedy→Mocks), broken into daily sub-topics, plus 4 extra company-pattern days (Google/Amazon/Meta/Flipkart-Zomato) at the end.</t>
  </si>
  <si>
    <t xml:space="preserve">• Communication is a 7-day rotating practice cycle (self-intro, GD, RC/vocab, mock HR Qs) — repeat and log progress in a notebook.</t>
  </si>
  <si>
    <t xml:space="preserve">• Lesson and AI/ML slots stay flexible for your ongoing coursework / agent projects — plug in your current syllabus or project milestones each week.</t>
  </si>
  <si>
    <t xml:space="preserve">• Keep a Mistake Book for Aptitude and an Error Log for DSA (as recommended in your source docs) — revisit them every 6th/7th day.</t>
  </si>
  <si>
    <t xml:space="preserve">Good luck — solve the right question quickly and accurately, not just more questions.</t>
  </si>
  <si>
    <t xml:space="preserve">#</t>
  </si>
  <si>
    <t xml:space="preserve">Parameter</t>
  </si>
  <si>
    <t xml:space="preserve">Target / Threshold</t>
  </si>
  <si>
    <t xml:space="preserve">Max Marks</t>
  </si>
  <si>
    <t xml:space="preserve">Where it fits in roadmap</t>
  </si>
  <si>
    <t xml:space="preserve">Marks Achieved</t>
  </si>
  <si>
    <t xml:space="preserve">Notes</t>
  </si>
  <si>
    <t xml:space="preserve">Coding volume: 1000+ problems (Skillrack/LeetCode/HackerRank) + 75 SQL</t>
  </si>
  <si>
    <t xml:space="preserve">1000 problems + 75 SQL</t>
  </si>
  <si>
    <t xml:space="preserve">DSA block (5-6pm) daily, weekend SQL push</t>
  </si>
  <si>
    <t xml:space="preserve">1 valid PR to approved external repo (GitHub/GSSoC)</t>
  </si>
  <si>
    <t xml:space="preserve">1 merged/approved PR</t>
  </si>
  <si>
    <t xml:space="preserve">Tue Lesson block (6:30-7:30pm)</t>
  </si>
  <si>
    <t xml:space="preserve">Competition assessment</t>
  </si>
  <si>
    <t xml:space="preserve">Pass/Completed</t>
  </si>
  <si>
    <t xml:space="preserve">Sat afternoon block (1:00-2:00pm)</t>
  </si>
  <si>
    <t xml:space="preserve">NPTEL (DBMS) or International cert (Oracle/Cisco/Salesforce/MongoDB/Databricks)</t>
  </si>
  <si>
    <t xml:space="preserve">Elite/Silver/Gold or Foundation/Associate/Professional</t>
  </si>
  <si>
    <t xml:space="preserve">Fri Lesson block (6:30-7:30pm)</t>
  </si>
  <si>
    <t xml:space="preserve">CodeChef rating</t>
  </si>
  <si>
    <t xml:space="preserve">2★=5, 3★=10, 4★=15</t>
  </si>
  <si>
    <t xml:space="preserve">Thu Lesson block (6:30-7:30pm)</t>
  </si>
  <si>
    <t xml:space="preserve">SIH / IEEE paper / patent / conference</t>
  </si>
  <si>
    <t xml:space="preserve">SIH(3) to Granted patent(20)</t>
  </si>
  <si>
    <t xml:space="preserve">Sat afternoon block (2:00-3:30pm)</t>
  </si>
  <si>
    <t xml:space="preserve">Aptitude score + Communication (Linguaskill)</t>
  </si>
  <si>
    <t xml:space="preserve">60-69=6 ... 90+=15; Comm 3-5</t>
  </si>
  <si>
    <t xml:space="preserve">Daily Aptitude (3:30-4:30) + Comm (6-6:30)</t>
  </si>
  <si>
    <t xml:space="preserve">HackerRank Monthly Test</t>
  </si>
  <si>
    <t xml:space="preserve">Confirm marks with placement cell</t>
  </si>
  <si>
    <t xml:space="preserve">Not yet scheduled</t>
  </si>
  <si>
    <t xml:space="preserve">GATE appearance</t>
  </si>
  <si>
    <t xml:space="preserve">Register by 21 Sept (Rs.1000)</t>
  </si>
  <si>
    <t xml:space="preserve">Sat block (3:30-4:00pm) — registration check</t>
  </si>
  <si>
    <t xml:space="preserve">Internship / PPO-PPI offer</t>
  </si>
  <si>
    <t xml:space="preserve">Offer(10) / Completed(15) / PPO-PPI(20)</t>
  </si>
  <si>
    <t xml:space="preserve">Ongoing — apply during weekdays as opportunities arise</t>
  </si>
  <si>
    <t xml:space="preserve">Foreign Language (German/Japanese/French)</t>
  </si>
  <si>
    <t xml:space="preserve">A1=7, A2=12, B1=15</t>
  </si>
  <si>
    <t xml:space="preserve">Sat afternoon block (4:00-5:00pm)</t>
  </si>
  <si>
    <t xml:space="preserve">PEP / HOPE Elite</t>
  </si>
  <si>
    <t xml:space="preserve">PEP(5) / HOPE Elite(15)</t>
  </si>
  <si>
    <t xml:space="preserve">Sat afternoon block (5:00-6:00pm)</t>
  </si>
  <si>
    <t xml:space="preserve">TOTAL</t>
  </si>
  <si>
    <t xml:space="preserve">Week</t>
  </si>
  <si>
    <t xml:space="preserve">Dates</t>
  </si>
  <si>
    <t xml:space="preserve">Paper 1 Milestone</t>
  </si>
  <si>
    <t xml:space="preserve">Paper 2 Milestone</t>
  </si>
  <si>
    <t xml:space="preserve">Weekend Slot Used</t>
  </si>
  <si>
    <t xml:space="preserve">Status P1</t>
  </si>
  <si>
    <t xml:space="preserve">Status P2</t>
  </si>
  <si>
    <t xml:space="preserve">Wk 1</t>
  </si>
  <si>
    <t xml:space="preserve">15-16 Aug</t>
  </si>
  <si>
    <t xml:space="preserve">Finalize topic + start literature review</t>
  </si>
  <si>
    <t xml:space="preserve">Sat AM + Sun AM</t>
  </si>
  <si>
    <t xml:space="preserve">Wk 2</t>
  </si>
  <si>
    <t xml:space="preserve">22-23 Aug</t>
  </si>
  <si>
    <t xml:space="preserve">Complete literature review, outline</t>
  </si>
  <si>
    <t xml:space="preserve">Wk 3</t>
  </si>
  <si>
    <t xml:space="preserve">(Model 1 Exam 29 Aug-5 Sept — pause)</t>
  </si>
  <si>
    <t xml:space="preserve">Exam blackout — no paper work</t>
  </si>
  <si>
    <t xml:space="preserve">—</t>
  </si>
  <si>
    <t xml:space="preserve">Wk 4</t>
  </si>
  <si>
    <t xml:space="preserve">6-7 Sept</t>
  </si>
  <si>
    <t xml:space="preserve">Draft full paper (methodology + results)</t>
  </si>
  <si>
    <t xml:space="preserve">Outline + start draft</t>
  </si>
  <si>
    <t xml:space="preserve">Wk 5</t>
  </si>
  <si>
    <t xml:space="preserve">13-14 Sept</t>
  </si>
  <si>
    <t xml:space="preserve">Finish draft, send to guide/co-author</t>
  </si>
  <si>
    <t xml:space="preserve">Continue drafting</t>
  </si>
  <si>
    <t xml:space="preserve">Wk 6</t>
  </si>
  <si>
    <t xml:space="preserve">20-21 Sept</t>
  </si>
  <si>
    <t xml:space="preserve">Revise per feedback, format for submission</t>
  </si>
  <si>
    <t xml:space="preserve">Wk 7</t>
  </si>
  <si>
    <t xml:space="preserve">27-28 Sept</t>
  </si>
  <si>
    <t xml:space="preserve">SUBMIT Paper 1</t>
  </si>
  <si>
    <t xml:space="preserve">Revise + format + SUBMIT Paper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</si>
</sst>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EAF1F8"/>
      </patternFill>
    </fill>
    <fill>
      <patternFill patternType="solid">
        <fgColor rgb="FFEAF1F8"/>
        <bgColor rgb="FFFFFFFF"/>
      </patternFill>
    </fill>
    <fill>
      <patternFill patternType="solid">
        <fgColor rgb="FFF8CBAD"/>
        <bgColor rgb="FFFFC7CE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B7B7B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C95" activeCellId="0" sqref="C9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"/>
    <col collapsed="false" customWidth="true" hidden="false" outlineLevel="0" max="3" min="3" style="1" width="10"/>
    <col collapsed="false" customWidth="true" hidden="false" outlineLevel="0" max="4" min="4" style="1" width="42"/>
    <col collapsed="false" customWidth="true" hidden="false" outlineLevel="0" max="5" min="5" style="1" width="46.11"/>
    <col collapsed="false" customWidth="true" hidden="false" outlineLevel="0" max="6" min="6" style="1" width="30"/>
    <col collapsed="false" customWidth="true" hidden="false" outlineLevel="0" max="7" min="7" style="1" width="39.56"/>
    <col collapsed="false" customWidth="true" hidden="false" outlineLevel="0" max="8" min="8" style="1" width="34"/>
    <col collapsed="false" customWidth="true" hidden="false" outlineLevel="0" max="14" min="9" style="1" width="12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34.5" hidden="false" customHeight="true" outlineLevel="0" collapsed="false">
      <c r="A2" s="3" t="s">
        <v>14</v>
      </c>
      <c r="B2" s="3" t="s">
        <v>15</v>
      </c>
      <c r="C2" s="3" t="n">
        <v>1</v>
      </c>
      <c r="D2" s="4" t="s">
        <v>16</v>
      </c>
      <c r="E2" s="4" t="s">
        <v>17</v>
      </c>
      <c r="F2" s="4" t="s">
        <v>18</v>
      </c>
      <c r="G2" s="5" t="s">
        <v>19</v>
      </c>
      <c r="H2" s="4" t="s">
        <v>20</v>
      </c>
      <c r="I2" s="6" t="s">
        <v>21</v>
      </c>
      <c r="J2" s="6" t="s">
        <v>21</v>
      </c>
      <c r="K2" s="6" t="s">
        <v>21</v>
      </c>
      <c r="L2" s="6" t="s">
        <v>21</v>
      </c>
      <c r="M2" s="6" t="s">
        <v>21</v>
      </c>
      <c r="N2" s="7" t="n">
        <f aca="false">COUNTIF(I2:M2,"Done")/5</f>
        <v>0</v>
      </c>
    </row>
    <row r="3" customFormat="false" ht="34.5" hidden="false" customHeight="true" outlineLevel="0" collapsed="false">
      <c r="A3" s="8" t="s">
        <v>22</v>
      </c>
      <c r="B3" s="8" t="s">
        <v>23</v>
      </c>
      <c r="C3" s="8" t="n">
        <v>2</v>
      </c>
      <c r="D3" s="9" t="s">
        <v>24</v>
      </c>
      <c r="E3" s="9" t="s">
        <v>25</v>
      </c>
      <c r="F3" s="9" t="s">
        <v>26</v>
      </c>
      <c r="G3" s="10" t="s">
        <v>27</v>
      </c>
      <c r="H3" s="9" t="s">
        <v>20</v>
      </c>
      <c r="I3" s="6" t="s">
        <v>21</v>
      </c>
      <c r="J3" s="6" t="s">
        <v>21</v>
      </c>
      <c r="K3" s="6" t="s">
        <v>21</v>
      </c>
      <c r="L3" s="6" t="s">
        <v>21</v>
      </c>
      <c r="M3" s="6" t="s">
        <v>21</v>
      </c>
      <c r="N3" s="7" t="n">
        <f aca="false">COUNTIF(I3:M3,"Done")/5</f>
        <v>0</v>
      </c>
    </row>
    <row r="4" customFormat="false" ht="34.5" hidden="false" customHeight="true" outlineLevel="0" collapsed="false">
      <c r="A4" s="3" t="s">
        <v>28</v>
      </c>
      <c r="B4" s="3" t="s">
        <v>29</v>
      </c>
      <c r="C4" s="3" t="n">
        <v>3</v>
      </c>
      <c r="D4" s="4" t="s">
        <v>30</v>
      </c>
      <c r="E4" s="4" t="s">
        <v>31</v>
      </c>
      <c r="F4" s="4" t="s">
        <v>32</v>
      </c>
      <c r="G4" s="5" t="s">
        <v>19</v>
      </c>
      <c r="H4" s="4" t="s">
        <v>20</v>
      </c>
      <c r="I4" s="6" t="s">
        <v>21</v>
      </c>
      <c r="J4" s="6" t="s">
        <v>21</v>
      </c>
      <c r="K4" s="6" t="s">
        <v>21</v>
      </c>
      <c r="L4" s="6" t="s">
        <v>21</v>
      </c>
      <c r="M4" s="6" t="s">
        <v>21</v>
      </c>
      <c r="N4" s="7" t="n">
        <f aca="false">COUNTIF(I4:M4,"Done")/5</f>
        <v>0</v>
      </c>
    </row>
    <row r="5" customFormat="false" ht="34.5" hidden="false" customHeight="true" outlineLevel="0" collapsed="false">
      <c r="A5" s="8" t="s">
        <v>33</v>
      </c>
      <c r="B5" s="8" t="s">
        <v>34</v>
      </c>
      <c r="C5" s="8" t="n">
        <v>4</v>
      </c>
      <c r="D5" s="9" t="s">
        <v>35</v>
      </c>
      <c r="E5" s="9" t="s">
        <v>35</v>
      </c>
      <c r="F5" s="9" t="s">
        <v>35</v>
      </c>
      <c r="G5" s="10" t="s">
        <v>35</v>
      </c>
      <c r="H5" s="9" t="s">
        <v>35</v>
      </c>
      <c r="I5" s="6" t="s">
        <v>36</v>
      </c>
      <c r="J5" s="6" t="s">
        <v>36</v>
      </c>
      <c r="K5" s="6" t="s">
        <v>36</v>
      </c>
      <c r="L5" s="6" t="s">
        <v>36</v>
      </c>
      <c r="M5" s="6" t="s">
        <v>36</v>
      </c>
      <c r="N5" s="7" t="n">
        <f aca="false">COUNTIF(I5:M5,"Done")/5</f>
        <v>0</v>
      </c>
    </row>
    <row r="6" customFormat="false" ht="34.5" hidden="false" customHeight="true" outlineLevel="0" collapsed="false">
      <c r="A6" s="3" t="s">
        <v>37</v>
      </c>
      <c r="B6" s="3" t="s">
        <v>38</v>
      </c>
      <c r="C6" s="3" t="n">
        <v>5</v>
      </c>
      <c r="D6" s="4" t="s">
        <v>39</v>
      </c>
      <c r="E6" s="4" t="s">
        <v>40</v>
      </c>
      <c r="F6" s="4" t="s">
        <v>41</v>
      </c>
      <c r="G6" s="5" t="s">
        <v>42</v>
      </c>
      <c r="H6" s="4" t="s">
        <v>20</v>
      </c>
      <c r="I6" s="6" t="s">
        <v>21</v>
      </c>
      <c r="J6" s="6" t="s">
        <v>21</v>
      </c>
      <c r="K6" s="6" t="s">
        <v>21</v>
      </c>
      <c r="L6" s="6" t="s">
        <v>21</v>
      </c>
      <c r="M6" s="6" t="s">
        <v>21</v>
      </c>
      <c r="N6" s="7" t="n">
        <f aca="false">COUNTIF(I6:M6,"Done")/5</f>
        <v>0</v>
      </c>
    </row>
    <row r="7" customFormat="false" ht="34.5" hidden="false" customHeight="true" outlineLevel="0" collapsed="false">
      <c r="A7" s="8" t="s">
        <v>43</v>
      </c>
      <c r="B7" s="8" t="s">
        <v>44</v>
      </c>
      <c r="C7" s="8" t="n">
        <v>6</v>
      </c>
      <c r="D7" s="9" t="s">
        <v>45</v>
      </c>
      <c r="E7" s="9" t="s">
        <v>46</v>
      </c>
      <c r="F7" s="9" t="s">
        <v>47</v>
      </c>
      <c r="G7" s="10" t="s">
        <v>19</v>
      </c>
      <c r="H7" s="9" t="s">
        <v>20</v>
      </c>
      <c r="I7" s="6" t="s">
        <v>21</v>
      </c>
      <c r="J7" s="6" t="s">
        <v>21</v>
      </c>
      <c r="K7" s="6" t="s">
        <v>21</v>
      </c>
      <c r="L7" s="6" t="s">
        <v>21</v>
      </c>
      <c r="M7" s="6" t="s">
        <v>21</v>
      </c>
      <c r="N7" s="7" t="n">
        <f aca="false">COUNTIF(I7:M7,"Done")/5</f>
        <v>0</v>
      </c>
    </row>
    <row r="8" customFormat="false" ht="34.5" hidden="false" customHeight="true" outlineLevel="0" collapsed="false">
      <c r="A8" s="3" t="s">
        <v>48</v>
      </c>
      <c r="B8" s="3" t="s">
        <v>49</v>
      </c>
      <c r="C8" s="3" t="n">
        <v>7</v>
      </c>
      <c r="D8" s="4" t="s">
        <v>50</v>
      </c>
      <c r="E8" s="4" t="s">
        <v>51</v>
      </c>
      <c r="F8" s="4" t="s">
        <v>52</v>
      </c>
      <c r="G8" s="5" t="s">
        <v>19</v>
      </c>
      <c r="H8" s="4" t="s">
        <v>20</v>
      </c>
      <c r="I8" s="6" t="s">
        <v>21</v>
      </c>
      <c r="J8" s="6" t="s">
        <v>21</v>
      </c>
      <c r="K8" s="6" t="s">
        <v>21</v>
      </c>
      <c r="L8" s="6" t="s">
        <v>21</v>
      </c>
      <c r="M8" s="6" t="s">
        <v>21</v>
      </c>
      <c r="N8" s="7" t="n">
        <f aca="false">COUNTIF(I8:M8,"Done")/5</f>
        <v>0</v>
      </c>
    </row>
    <row r="9" customFormat="false" ht="34.5" hidden="false" customHeight="true" outlineLevel="0" collapsed="false">
      <c r="A9" s="8" t="s">
        <v>53</v>
      </c>
      <c r="B9" s="8" t="s">
        <v>15</v>
      </c>
      <c r="C9" s="8" t="n">
        <v>8</v>
      </c>
      <c r="D9" s="9" t="s">
        <v>54</v>
      </c>
      <c r="E9" s="9" t="s">
        <v>55</v>
      </c>
      <c r="F9" s="9" t="s">
        <v>18</v>
      </c>
      <c r="G9" s="10" t="s">
        <v>19</v>
      </c>
      <c r="H9" s="9" t="s">
        <v>20</v>
      </c>
      <c r="I9" s="6" t="s">
        <v>21</v>
      </c>
      <c r="J9" s="6" t="s">
        <v>21</v>
      </c>
      <c r="K9" s="6" t="s">
        <v>21</v>
      </c>
      <c r="L9" s="6" t="s">
        <v>21</v>
      </c>
      <c r="M9" s="6" t="s">
        <v>21</v>
      </c>
      <c r="N9" s="7" t="n">
        <f aca="false">COUNTIF(I9:M9,"Done")/5</f>
        <v>0</v>
      </c>
    </row>
    <row r="10" customFormat="false" ht="34.5" hidden="false" customHeight="true" outlineLevel="0" collapsed="false">
      <c r="A10" s="3" t="s">
        <v>56</v>
      </c>
      <c r="B10" s="3" t="s">
        <v>23</v>
      </c>
      <c r="C10" s="3" t="n">
        <v>9</v>
      </c>
      <c r="D10" s="4" t="s">
        <v>57</v>
      </c>
      <c r="E10" s="4" t="s">
        <v>58</v>
      </c>
      <c r="F10" s="4" t="s">
        <v>26</v>
      </c>
      <c r="G10" s="5" t="s">
        <v>27</v>
      </c>
      <c r="H10" s="4" t="s">
        <v>20</v>
      </c>
      <c r="I10" s="6" t="s">
        <v>21</v>
      </c>
      <c r="J10" s="6" t="s">
        <v>21</v>
      </c>
      <c r="K10" s="6" t="s">
        <v>21</v>
      </c>
      <c r="L10" s="6" t="s">
        <v>21</v>
      </c>
      <c r="M10" s="6" t="s">
        <v>21</v>
      </c>
      <c r="N10" s="7" t="n">
        <f aca="false">COUNTIF(I10:M10,"Done")/5</f>
        <v>0</v>
      </c>
    </row>
    <row r="11" customFormat="false" ht="34.5" hidden="false" customHeight="true" outlineLevel="0" collapsed="false">
      <c r="A11" s="8" t="s">
        <v>59</v>
      </c>
      <c r="B11" s="8" t="s">
        <v>29</v>
      </c>
      <c r="C11" s="8" t="n">
        <v>10</v>
      </c>
      <c r="D11" s="9" t="s">
        <v>60</v>
      </c>
      <c r="E11" s="9" t="s">
        <v>61</v>
      </c>
      <c r="F11" s="9" t="s">
        <v>32</v>
      </c>
      <c r="G11" s="10" t="s">
        <v>19</v>
      </c>
      <c r="H11" s="9" t="s">
        <v>20</v>
      </c>
      <c r="I11" s="6" t="s">
        <v>21</v>
      </c>
      <c r="J11" s="6" t="s">
        <v>21</v>
      </c>
      <c r="K11" s="6" t="s">
        <v>21</v>
      </c>
      <c r="L11" s="6" t="s">
        <v>21</v>
      </c>
      <c r="M11" s="6" t="s">
        <v>21</v>
      </c>
      <c r="N11" s="7" t="n">
        <f aca="false">COUNTIF(I11:M11,"Done")/5</f>
        <v>0</v>
      </c>
    </row>
    <row r="12" customFormat="false" ht="34.5" hidden="false" customHeight="true" outlineLevel="0" collapsed="false">
      <c r="A12" s="3" t="s">
        <v>62</v>
      </c>
      <c r="B12" s="3" t="s">
        <v>34</v>
      </c>
      <c r="C12" s="3" t="n">
        <v>11</v>
      </c>
      <c r="D12" s="4" t="s">
        <v>35</v>
      </c>
      <c r="E12" s="4" t="s">
        <v>35</v>
      </c>
      <c r="F12" s="4" t="s">
        <v>35</v>
      </c>
      <c r="G12" s="5" t="s">
        <v>35</v>
      </c>
      <c r="H12" s="4" t="s">
        <v>35</v>
      </c>
      <c r="I12" s="6" t="s">
        <v>36</v>
      </c>
      <c r="J12" s="6" t="s">
        <v>36</v>
      </c>
      <c r="K12" s="6" t="s">
        <v>36</v>
      </c>
      <c r="L12" s="6" t="s">
        <v>36</v>
      </c>
      <c r="M12" s="6" t="s">
        <v>36</v>
      </c>
      <c r="N12" s="7" t="n">
        <f aca="false">COUNTIF(I12:M12,"Done")/5</f>
        <v>0</v>
      </c>
    </row>
    <row r="13" customFormat="false" ht="34.5" hidden="false" customHeight="true" outlineLevel="0" collapsed="false">
      <c r="A13" s="8" t="s">
        <v>63</v>
      </c>
      <c r="B13" s="8" t="s">
        <v>38</v>
      </c>
      <c r="C13" s="8" t="n">
        <v>12</v>
      </c>
      <c r="D13" s="9" t="s">
        <v>64</v>
      </c>
      <c r="E13" s="9" t="s">
        <v>65</v>
      </c>
      <c r="F13" s="9" t="s">
        <v>41</v>
      </c>
      <c r="G13" s="10" t="s">
        <v>42</v>
      </c>
      <c r="H13" s="9" t="s">
        <v>20</v>
      </c>
      <c r="I13" s="6" t="s">
        <v>21</v>
      </c>
      <c r="J13" s="6" t="s">
        <v>21</v>
      </c>
      <c r="K13" s="6" t="s">
        <v>21</v>
      </c>
      <c r="L13" s="6" t="s">
        <v>21</v>
      </c>
      <c r="M13" s="6" t="s">
        <v>21</v>
      </c>
      <c r="N13" s="7" t="n">
        <f aca="false">COUNTIF(I13:M13,"Done")/5</f>
        <v>0</v>
      </c>
    </row>
    <row r="14" customFormat="false" ht="34.5" hidden="false" customHeight="true" outlineLevel="0" collapsed="false">
      <c r="A14" s="3" t="s">
        <v>66</v>
      </c>
      <c r="B14" s="3" t="s">
        <v>44</v>
      </c>
      <c r="C14" s="3" t="n">
        <v>13</v>
      </c>
      <c r="D14" s="4" t="s">
        <v>67</v>
      </c>
      <c r="E14" s="4" t="s">
        <v>68</v>
      </c>
      <c r="F14" s="4" t="s">
        <v>47</v>
      </c>
      <c r="G14" s="5" t="s">
        <v>19</v>
      </c>
      <c r="H14" s="4" t="s">
        <v>20</v>
      </c>
      <c r="I14" s="6" t="s">
        <v>21</v>
      </c>
      <c r="J14" s="6" t="s">
        <v>21</v>
      </c>
      <c r="K14" s="6" t="s">
        <v>21</v>
      </c>
      <c r="L14" s="6" t="s">
        <v>21</v>
      </c>
      <c r="M14" s="6" t="s">
        <v>21</v>
      </c>
      <c r="N14" s="7" t="n">
        <f aca="false">COUNTIF(I14:M14,"Done")/5</f>
        <v>0</v>
      </c>
    </row>
    <row r="15" customFormat="false" ht="34.5" hidden="false" customHeight="true" outlineLevel="0" collapsed="false">
      <c r="A15" s="8" t="s">
        <v>69</v>
      </c>
      <c r="B15" s="8" t="s">
        <v>49</v>
      </c>
      <c r="C15" s="8" t="n">
        <v>14</v>
      </c>
      <c r="D15" s="9" t="s">
        <v>70</v>
      </c>
      <c r="E15" s="9" t="s">
        <v>71</v>
      </c>
      <c r="F15" s="9" t="s">
        <v>52</v>
      </c>
      <c r="G15" s="10" t="s">
        <v>19</v>
      </c>
      <c r="H15" s="9" t="s">
        <v>20</v>
      </c>
      <c r="I15" s="6" t="s">
        <v>21</v>
      </c>
      <c r="J15" s="6" t="s">
        <v>21</v>
      </c>
      <c r="K15" s="6" t="s">
        <v>21</v>
      </c>
      <c r="L15" s="6" t="s">
        <v>21</v>
      </c>
      <c r="M15" s="6" t="s">
        <v>21</v>
      </c>
      <c r="N15" s="7" t="n">
        <f aca="false">COUNTIF(I15:M15,"Done")/5</f>
        <v>0</v>
      </c>
    </row>
    <row r="16" customFormat="false" ht="34.5" hidden="false" customHeight="true" outlineLevel="0" collapsed="false">
      <c r="A16" s="3" t="s">
        <v>72</v>
      </c>
      <c r="B16" s="3" t="s">
        <v>15</v>
      </c>
      <c r="C16" s="3" t="n">
        <v>15</v>
      </c>
      <c r="D16" s="4" t="s">
        <v>73</v>
      </c>
      <c r="E16" s="4" t="s">
        <v>74</v>
      </c>
      <c r="F16" s="4" t="s">
        <v>18</v>
      </c>
      <c r="G16" s="5" t="s">
        <v>19</v>
      </c>
      <c r="H16" s="4" t="s">
        <v>20</v>
      </c>
      <c r="I16" s="6" t="s">
        <v>21</v>
      </c>
      <c r="J16" s="6" t="s">
        <v>21</v>
      </c>
      <c r="K16" s="6" t="s">
        <v>21</v>
      </c>
      <c r="L16" s="6" t="s">
        <v>21</v>
      </c>
      <c r="M16" s="6" t="s">
        <v>21</v>
      </c>
      <c r="N16" s="7" t="n">
        <f aca="false">COUNTIF(I16:M16,"Done")/5</f>
        <v>0</v>
      </c>
    </row>
    <row r="17" customFormat="false" ht="34.5" hidden="false" customHeight="true" outlineLevel="0" collapsed="false">
      <c r="A17" s="8" t="s">
        <v>75</v>
      </c>
      <c r="B17" s="8" t="s">
        <v>23</v>
      </c>
      <c r="C17" s="8" t="n">
        <v>16</v>
      </c>
      <c r="D17" s="9" t="s">
        <v>76</v>
      </c>
      <c r="E17" s="9" t="s">
        <v>77</v>
      </c>
      <c r="F17" s="9" t="s">
        <v>26</v>
      </c>
      <c r="G17" s="10" t="s">
        <v>27</v>
      </c>
      <c r="H17" s="9" t="s">
        <v>20</v>
      </c>
      <c r="I17" s="6" t="s">
        <v>21</v>
      </c>
      <c r="J17" s="6" t="s">
        <v>21</v>
      </c>
      <c r="K17" s="6" t="s">
        <v>21</v>
      </c>
      <c r="L17" s="6" t="s">
        <v>21</v>
      </c>
      <c r="M17" s="6" t="s">
        <v>21</v>
      </c>
      <c r="N17" s="7" t="n">
        <f aca="false">COUNTIF(I17:M17,"Done")/5</f>
        <v>0</v>
      </c>
    </row>
    <row r="18" customFormat="false" ht="34.5" hidden="false" customHeight="true" outlineLevel="0" collapsed="false">
      <c r="A18" s="3" t="s">
        <v>78</v>
      </c>
      <c r="B18" s="3" t="s">
        <v>29</v>
      </c>
      <c r="C18" s="3" t="n">
        <v>17</v>
      </c>
      <c r="D18" s="4" t="s">
        <v>79</v>
      </c>
      <c r="E18" s="4" t="s">
        <v>80</v>
      </c>
      <c r="F18" s="4" t="s">
        <v>32</v>
      </c>
      <c r="G18" s="5" t="s">
        <v>19</v>
      </c>
      <c r="H18" s="4" t="s">
        <v>20</v>
      </c>
      <c r="I18" s="6" t="s">
        <v>21</v>
      </c>
      <c r="J18" s="6" t="s">
        <v>21</v>
      </c>
      <c r="K18" s="6" t="s">
        <v>21</v>
      </c>
      <c r="L18" s="6" t="s">
        <v>21</v>
      </c>
      <c r="M18" s="6" t="s">
        <v>21</v>
      </c>
      <c r="N18" s="7" t="n">
        <f aca="false">COUNTIF(I18:M18,"Done")/5</f>
        <v>0</v>
      </c>
    </row>
    <row r="19" customFormat="false" ht="34.5" hidden="false" customHeight="true" outlineLevel="0" collapsed="false">
      <c r="A19" s="8" t="s">
        <v>81</v>
      </c>
      <c r="B19" s="8" t="s">
        <v>34</v>
      </c>
      <c r="C19" s="8" t="n">
        <v>18</v>
      </c>
      <c r="D19" s="9" t="s">
        <v>35</v>
      </c>
      <c r="E19" s="9" t="s">
        <v>35</v>
      </c>
      <c r="F19" s="9" t="s">
        <v>35</v>
      </c>
      <c r="G19" s="10" t="s">
        <v>35</v>
      </c>
      <c r="H19" s="9" t="s">
        <v>35</v>
      </c>
      <c r="I19" s="6" t="s">
        <v>36</v>
      </c>
      <c r="J19" s="6" t="s">
        <v>36</v>
      </c>
      <c r="K19" s="6" t="s">
        <v>36</v>
      </c>
      <c r="L19" s="6" t="s">
        <v>36</v>
      </c>
      <c r="M19" s="6" t="s">
        <v>36</v>
      </c>
      <c r="N19" s="7" t="n">
        <f aca="false">COUNTIF(I19:M19,"Done")/5</f>
        <v>0</v>
      </c>
    </row>
    <row r="20" customFormat="false" ht="34.5" hidden="false" customHeight="true" outlineLevel="0" collapsed="false">
      <c r="A20" s="3" t="s">
        <v>82</v>
      </c>
      <c r="B20" s="3" t="s">
        <v>38</v>
      </c>
      <c r="C20" s="3" t="n">
        <v>19</v>
      </c>
      <c r="D20" s="4" t="s">
        <v>83</v>
      </c>
      <c r="E20" s="4" t="s">
        <v>84</v>
      </c>
      <c r="F20" s="4" t="s">
        <v>41</v>
      </c>
      <c r="G20" s="5" t="s">
        <v>42</v>
      </c>
      <c r="H20" s="4" t="s">
        <v>20</v>
      </c>
      <c r="I20" s="6" t="s">
        <v>21</v>
      </c>
      <c r="J20" s="6" t="s">
        <v>21</v>
      </c>
      <c r="K20" s="6" t="s">
        <v>21</v>
      </c>
      <c r="L20" s="6" t="s">
        <v>21</v>
      </c>
      <c r="M20" s="6" t="s">
        <v>21</v>
      </c>
      <c r="N20" s="7" t="n">
        <f aca="false">COUNTIF(I20:M20,"Done")/5</f>
        <v>0</v>
      </c>
    </row>
    <row r="21" customFormat="false" ht="23.25" hidden="false" customHeight="true" outlineLevel="0" collapsed="false">
      <c r="A21" s="11" t="s">
        <v>85</v>
      </c>
      <c r="B21" s="11" t="s">
        <v>44</v>
      </c>
      <c r="C21" s="11" t="s">
        <v>86</v>
      </c>
      <c r="D21" s="12" t="s">
        <v>87</v>
      </c>
      <c r="E21" s="12" t="s">
        <v>88</v>
      </c>
      <c r="F21" s="12" t="s">
        <v>89</v>
      </c>
      <c r="G21" s="12" t="s">
        <v>90</v>
      </c>
      <c r="H21" s="12" t="s">
        <v>90</v>
      </c>
      <c r="I21" s="6" t="s">
        <v>36</v>
      </c>
      <c r="J21" s="6" t="s">
        <v>36</v>
      </c>
      <c r="K21" s="6" t="s">
        <v>36</v>
      </c>
      <c r="L21" s="6" t="s">
        <v>36</v>
      </c>
      <c r="M21" s="6" t="s">
        <v>36</v>
      </c>
      <c r="N21" s="7" t="n">
        <f aca="false">COUNTIF(I21:M21,"Done")/5</f>
        <v>0</v>
      </c>
    </row>
    <row r="22" customFormat="false" ht="23.25" hidden="false" customHeight="true" outlineLevel="0" collapsed="false">
      <c r="A22" s="11" t="s">
        <v>91</v>
      </c>
      <c r="B22" s="11" t="s">
        <v>49</v>
      </c>
      <c r="C22" s="11" t="s">
        <v>86</v>
      </c>
      <c r="D22" s="12" t="s">
        <v>87</v>
      </c>
      <c r="E22" s="12" t="s">
        <v>88</v>
      </c>
      <c r="F22" s="12" t="s">
        <v>89</v>
      </c>
      <c r="G22" s="12" t="s">
        <v>90</v>
      </c>
      <c r="H22" s="12" t="s">
        <v>90</v>
      </c>
      <c r="I22" s="6" t="s">
        <v>36</v>
      </c>
      <c r="J22" s="6" t="s">
        <v>36</v>
      </c>
      <c r="K22" s="6" t="s">
        <v>36</v>
      </c>
      <c r="L22" s="6" t="s">
        <v>36</v>
      </c>
      <c r="M22" s="6" t="s">
        <v>36</v>
      </c>
      <c r="N22" s="7" t="n">
        <f aca="false">COUNTIF(I22:M22,"Done")/5</f>
        <v>0</v>
      </c>
    </row>
    <row r="23" customFormat="false" ht="23.25" hidden="false" customHeight="true" outlineLevel="0" collapsed="false">
      <c r="A23" s="11" t="s">
        <v>92</v>
      </c>
      <c r="B23" s="11" t="s">
        <v>15</v>
      </c>
      <c r="C23" s="11" t="s">
        <v>86</v>
      </c>
      <c r="D23" s="12" t="s">
        <v>87</v>
      </c>
      <c r="E23" s="12" t="s">
        <v>88</v>
      </c>
      <c r="F23" s="12" t="s">
        <v>89</v>
      </c>
      <c r="G23" s="12" t="s">
        <v>90</v>
      </c>
      <c r="H23" s="12" t="s">
        <v>90</v>
      </c>
      <c r="I23" s="6" t="s">
        <v>36</v>
      </c>
      <c r="J23" s="6" t="s">
        <v>36</v>
      </c>
      <c r="K23" s="6" t="s">
        <v>36</v>
      </c>
      <c r="L23" s="6" t="s">
        <v>36</v>
      </c>
      <c r="M23" s="6" t="s">
        <v>36</v>
      </c>
      <c r="N23" s="7" t="n">
        <f aca="false">COUNTIF(I23:M23,"Done")/5</f>
        <v>0</v>
      </c>
    </row>
    <row r="24" customFormat="false" ht="23.25" hidden="false" customHeight="true" outlineLevel="0" collapsed="false">
      <c r="A24" s="11" t="s">
        <v>93</v>
      </c>
      <c r="B24" s="11" t="s">
        <v>23</v>
      </c>
      <c r="C24" s="11" t="s">
        <v>86</v>
      </c>
      <c r="D24" s="12" t="s">
        <v>87</v>
      </c>
      <c r="E24" s="12" t="s">
        <v>88</v>
      </c>
      <c r="F24" s="12" t="s">
        <v>89</v>
      </c>
      <c r="G24" s="12" t="s">
        <v>90</v>
      </c>
      <c r="H24" s="12" t="s">
        <v>90</v>
      </c>
      <c r="I24" s="6" t="s">
        <v>36</v>
      </c>
      <c r="J24" s="6" t="s">
        <v>36</v>
      </c>
      <c r="K24" s="6" t="s">
        <v>36</v>
      </c>
      <c r="L24" s="6" t="s">
        <v>36</v>
      </c>
      <c r="M24" s="6" t="s">
        <v>36</v>
      </c>
      <c r="N24" s="7" t="n">
        <f aca="false">COUNTIF(I24:M24,"Done")/5</f>
        <v>0</v>
      </c>
    </row>
    <row r="25" customFormat="false" ht="23.25" hidden="false" customHeight="true" outlineLevel="0" collapsed="false">
      <c r="A25" s="11" t="s">
        <v>94</v>
      </c>
      <c r="B25" s="11" t="s">
        <v>29</v>
      </c>
      <c r="C25" s="11" t="s">
        <v>86</v>
      </c>
      <c r="D25" s="12" t="s">
        <v>87</v>
      </c>
      <c r="E25" s="12" t="s">
        <v>88</v>
      </c>
      <c r="F25" s="12" t="s">
        <v>89</v>
      </c>
      <c r="G25" s="12" t="s">
        <v>90</v>
      </c>
      <c r="H25" s="12" t="s">
        <v>90</v>
      </c>
      <c r="I25" s="6" t="s">
        <v>36</v>
      </c>
      <c r="J25" s="6" t="s">
        <v>36</v>
      </c>
      <c r="K25" s="6" t="s">
        <v>36</v>
      </c>
      <c r="L25" s="6" t="s">
        <v>36</v>
      </c>
      <c r="M25" s="6" t="s">
        <v>36</v>
      </c>
      <c r="N25" s="7" t="n">
        <f aca="false">COUNTIF(I25:M25,"Done")/5</f>
        <v>0</v>
      </c>
    </row>
    <row r="26" customFormat="false" ht="23.25" hidden="false" customHeight="true" outlineLevel="0" collapsed="false">
      <c r="A26" s="11" t="s">
        <v>95</v>
      </c>
      <c r="B26" s="11" t="s">
        <v>34</v>
      </c>
      <c r="C26" s="11" t="s">
        <v>86</v>
      </c>
      <c r="D26" s="12" t="s">
        <v>35</v>
      </c>
      <c r="E26" s="12" t="s">
        <v>35</v>
      </c>
      <c r="F26" s="12" t="s">
        <v>35</v>
      </c>
      <c r="G26" s="12" t="s">
        <v>35</v>
      </c>
      <c r="H26" s="12" t="s">
        <v>35</v>
      </c>
      <c r="I26" s="6" t="s">
        <v>36</v>
      </c>
      <c r="J26" s="6" t="s">
        <v>36</v>
      </c>
      <c r="K26" s="6" t="s">
        <v>36</v>
      </c>
      <c r="L26" s="6" t="s">
        <v>36</v>
      </c>
      <c r="M26" s="6" t="s">
        <v>36</v>
      </c>
      <c r="N26" s="7" t="n">
        <f aca="false">COUNTIF(I26:M26,"Done")/5</f>
        <v>0</v>
      </c>
    </row>
    <row r="27" customFormat="false" ht="23.25" hidden="false" customHeight="true" outlineLevel="0" collapsed="false">
      <c r="A27" s="11" t="s">
        <v>96</v>
      </c>
      <c r="B27" s="11" t="s">
        <v>38</v>
      </c>
      <c r="C27" s="11" t="s">
        <v>86</v>
      </c>
      <c r="D27" s="12" t="s">
        <v>87</v>
      </c>
      <c r="E27" s="12" t="s">
        <v>88</v>
      </c>
      <c r="F27" s="12" t="s">
        <v>89</v>
      </c>
      <c r="G27" s="12" t="s">
        <v>90</v>
      </c>
      <c r="H27" s="12" t="s">
        <v>90</v>
      </c>
      <c r="I27" s="6" t="s">
        <v>36</v>
      </c>
      <c r="J27" s="6" t="s">
        <v>36</v>
      </c>
      <c r="K27" s="6" t="s">
        <v>36</v>
      </c>
      <c r="L27" s="6" t="s">
        <v>36</v>
      </c>
      <c r="M27" s="6" t="s">
        <v>36</v>
      </c>
      <c r="N27" s="7" t="n">
        <f aca="false">COUNTIF(I27:M27,"Done")/5</f>
        <v>0</v>
      </c>
    </row>
    <row r="28" customFormat="false" ht="23.25" hidden="false" customHeight="true" outlineLevel="0" collapsed="false">
      <c r="A28" s="11" t="s">
        <v>97</v>
      </c>
      <c r="B28" s="11" t="s">
        <v>44</v>
      </c>
      <c r="C28" s="11" t="s">
        <v>86</v>
      </c>
      <c r="D28" s="12" t="s">
        <v>87</v>
      </c>
      <c r="E28" s="12" t="s">
        <v>88</v>
      </c>
      <c r="F28" s="12" t="s">
        <v>89</v>
      </c>
      <c r="G28" s="12" t="s">
        <v>90</v>
      </c>
      <c r="H28" s="12" t="s">
        <v>90</v>
      </c>
      <c r="I28" s="6" t="s">
        <v>36</v>
      </c>
      <c r="J28" s="6" t="s">
        <v>36</v>
      </c>
      <c r="K28" s="6" t="s">
        <v>36</v>
      </c>
      <c r="L28" s="6" t="s">
        <v>36</v>
      </c>
      <c r="M28" s="6" t="s">
        <v>36</v>
      </c>
      <c r="N28" s="7" t="n">
        <f aca="false">COUNTIF(I28:M28,"Done")/5</f>
        <v>0</v>
      </c>
    </row>
    <row r="29" customFormat="false" ht="34.5" hidden="false" customHeight="true" outlineLevel="0" collapsed="false">
      <c r="A29" s="8" t="s">
        <v>98</v>
      </c>
      <c r="B29" s="8" t="s">
        <v>49</v>
      </c>
      <c r="C29" s="8" t="n">
        <v>20</v>
      </c>
      <c r="D29" s="9" t="s">
        <v>99</v>
      </c>
      <c r="E29" s="9" t="s">
        <v>100</v>
      </c>
      <c r="F29" s="9" t="s">
        <v>47</v>
      </c>
      <c r="G29" s="10" t="s">
        <v>19</v>
      </c>
      <c r="H29" s="9" t="s">
        <v>20</v>
      </c>
      <c r="I29" s="6" t="s">
        <v>21</v>
      </c>
      <c r="J29" s="6" t="s">
        <v>21</v>
      </c>
      <c r="K29" s="6" t="s">
        <v>21</v>
      </c>
      <c r="L29" s="6" t="s">
        <v>21</v>
      </c>
      <c r="M29" s="6" t="s">
        <v>21</v>
      </c>
      <c r="N29" s="7" t="n">
        <f aca="false">COUNTIF(I29:M29,"Done")/5</f>
        <v>0</v>
      </c>
    </row>
    <row r="30" customFormat="false" ht="34.5" hidden="false" customHeight="true" outlineLevel="0" collapsed="false">
      <c r="A30" s="3" t="s">
        <v>101</v>
      </c>
      <c r="B30" s="3" t="s">
        <v>15</v>
      </c>
      <c r="C30" s="3" t="n">
        <v>21</v>
      </c>
      <c r="D30" s="4" t="s">
        <v>102</v>
      </c>
      <c r="E30" s="4" t="s">
        <v>103</v>
      </c>
      <c r="F30" s="4" t="s">
        <v>52</v>
      </c>
      <c r="G30" s="5" t="s">
        <v>19</v>
      </c>
      <c r="H30" s="4" t="s">
        <v>20</v>
      </c>
      <c r="I30" s="6" t="s">
        <v>21</v>
      </c>
      <c r="J30" s="6" t="s">
        <v>21</v>
      </c>
      <c r="K30" s="6" t="s">
        <v>21</v>
      </c>
      <c r="L30" s="6" t="s">
        <v>21</v>
      </c>
      <c r="M30" s="6" t="s">
        <v>21</v>
      </c>
      <c r="N30" s="7" t="n">
        <f aca="false">COUNTIF(I30:M30,"Done")/5</f>
        <v>0</v>
      </c>
    </row>
    <row r="31" customFormat="false" ht="34.5" hidden="false" customHeight="true" outlineLevel="0" collapsed="false">
      <c r="A31" s="8" t="s">
        <v>104</v>
      </c>
      <c r="B31" s="8" t="s">
        <v>23</v>
      </c>
      <c r="C31" s="8" t="n">
        <v>22</v>
      </c>
      <c r="D31" s="9" t="s">
        <v>105</v>
      </c>
      <c r="E31" s="9" t="s">
        <v>106</v>
      </c>
      <c r="F31" s="9" t="s">
        <v>18</v>
      </c>
      <c r="G31" s="10" t="s">
        <v>27</v>
      </c>
      <c r="H31" s="9" t="s">
        <v>20</v>
      </c>
      <c r="I31" s="6" t="s">
        <v>21</v>
      </c>
      <c r="J31" s="6" t="s">
        <v>21</v>
      </c>
      <c r="K31" s="6" t="s">
        <v>21</v>
      </c>
      <c r="L31" s="6" t="s">
        <v>21</v>
      </c>
      <c r="M31" s="6" t="s">
        <v>21</v>
      </c>
      <c r="N31" s="7" t="n">
        <f aca="false">COUNTIF(I31:M31,"Done")/5</f>
        <v>0</v>
      </c>
    </row>
    <row r="32" customFormat="false" ht="34.5" hidden="false" customHeight="true" outlineLevel="0" collapsed="false">
      <c r="A32" s="3" t="s">
        <v>107</v>
      </c>
      <c r="B32" s="3" t="s">
        <v>29</v>
      </c>
      <c r="C32" s="3" t="n">
        <v>23</v>
      </c>
      <c r="D32" s="4" t="s">
        <v>108</v>
      </c>
      <c r="E32" s="4" t="s">
        <v>109</v>
      </c>
      <c r="F32" s="4" t="s">
        <v>26</v>
      </c>
      <c r="G32" s="5" t="s">
        <v>19</v>
      </c>
      <c r="H32" s="4" t="s">
        <v>20</v>
      </c>
      <c r="I32" s="6" t="s">
        <v>21</v>
      </c>
      <c r="J32" s="6" t="s">
        <v>21</v>
      </c>
      <c r="K32" s="6" t="s">
        <v>21</v>
      </c>
      <c r="L32" s="6" t="s">
        <v>21</v>
      </c>
      <c r="M32" s="6" t="s">
        <v>21</v>
      </c>
      <c r="N32" s="7" t="n">
        <f aca="false">COUNTIF(I32:M32,"Done")/5</f>
        <v>0</v>
      </c>
    </row>
    <row r="33" customFormat="false" ht="34.5" hidden="false" customHeight="true" outlineLevel="0" collapsed="false">
      <c r="A33" s="8" t="s">
        <v>110</v>
      </c>
      <c r="B33" s="8" t="s">
        <v>34</v>
      </c>
      <c r="C33" s="8" t="n">
        <v>24</v>
      </c>
      <c r="D33" s="9" t="s">
        <v>35</v>
      </c>
      <c r="E33" s="9" t="s">
        <v>35</v>
      </c>
      <c r="F33" s="9" t="s">
        <v>35</v>
      </c>
      <c r="G33" s="10" t="s">
        <v>35</v>
      </c>
      <c r="H33" s="9" t="s">
        <v>35</v>
      </c>
      <c r="I33" s="6" t="s">
        <v>36</v>
      </c>
      <c r="J33" s="6" t="s">
        <v>36</v>
      </c>
      <c r="K33" s="6" t="s">
        <v>36</v>
      </c>
      <c r="L33" s="6" t="s">
        <v>36</v>
      </c>
      <c r="M33" s="6" t="s">
        <v>36</v>
      </c>
      <c r="N33" s="7" t="n">
        <f aca="false">COUNTIF(I33:M33,"Done")/5</f>
        <v>0</v>
      </c>
    </row>
    <row r="34" customFormat="false" ht="34.5" hidden="false" customHeight="true" outlineLevel="0" collapsed="false">
      <c r="A34" s="3" t="s">
        <v>111</v>
      </c>
      <c r="B34" s="3" t="s">
        <v>38</v>
      </c>
      <c r="C34" s="3" t="n">
        <v>25</v>
      </c>
      <c r="D34" s="4" t="s">
        <v>112</v>
      </c>
      <c r="E34" s="4" t="s">
        <v>113</v>
      </c>
      <c r="F34" s="4" t="s">
        <v>114</v>
      </c>
      <c r="G34" s="5" t="s">
        <v>42</v>
      </c>
      <c r="H34" s="4" t="s">
        <v>20</v>
      </c>
      <c r="I34" s="6" t="s">
        <v>21</v>
      </c>
      <c r="J34" s="6" t="s">
        <v>21</v>
      </c>
      <c r="K34" s="6" t="s">
        <v>21</v>
      </c>
      <c r="L34" s="6" t="s">
        <v>21</v>
      </c>
      <c r="M34" s="6" t="s">
        <v>21</v>
      </c>
      <c r="N34" s="7" t="n">
        <f aca="false">COUNTIF(I34:M34,"Done")/5</f>
        <v>0</v>
      </c>
    </row>
    <row r="35" customFormat="false" ht="34.5" hidden="false" customHeight="true" outlineLevel="0" collapsed="false">
      <c r="A35" s="8" t="s">
        <v>115</v>
      </c>
      <c r="B35" s="8" t="s">
        <v>44</v>
      </c>
      <c r="C35" s="8" t="n">
        <v>26</v>
      </c>
      <c r="D35" s="9" t="s">
        <v>116</v>
      </c>
      <c r="E35" s="9" t="s">
        <v>117</v>
      </c>
      <c r="F35" s="9" t="s">
        <v>41</v>
      </c>
      <c r="G35" s="10" t="s">
        <v>19</v>
      </c>
      <c r="H35" s="9" t="s">
        <v>20</v>
      </c>
      <c r="I35" s="6" t="s">
        <v>21</v>
      </c>
      <c r="J35" s="6" t="s">
        <v>21</v>
      </c>
      <c r="K35" s="6" t="s">
        <v>21</v>
      </c>
      <c r="L35" s="6" t="s">
        <v>21</v>
      </c>
      <c r="M35" s="6" t="s">
        <v>21</v>
      </c>
      <c r="N35" s="7" t="n">
        <f aca="false">COUNTIF(I35:M35,"Done")/5</f>
        <v>0</v>
      </c>
    </row>
    <row r="36" customFormat="false" ht="34.5" hidden="false" customHeight="true" outlineLevel="0" collapsed="false">
      <c r="A36" s="3" t="s">
        <v>118</v>
      </c>
      <c r="B36" s="3" t="s">
        <v>49</v>
      </c>
      <c r="C36" s="3" t="n">
        <v>27</v>
      </c>
      <c r="D36" s="4" t="s">
        <v>119</v>
      </c>
      <c r="E36" s="4" t="s">
        <v>120</v>
      </c>
      <c r="F36" s="4" t="s">
        <v>47</v>
      </c>
      <c r="G36" s="5" t="s">
        <v>19</v>
      </c>
      <c r="H36" s="4" t="s">
        <v>20</v>
      </c>
      <c r="I36" s="6" t="s">
        <v>21</v>
      </c>
      <c r="J36" s="6" t="s">
        <v>21</v>
      </c>
      <c r="K36" s="6" t="s">
        <v>21</v>
      </c>
      <c r="L36" s="6" t="s">
        <v>21</v>
      </c>
      <c r="M36" s="6" t="s">
        <v>21</v>
      </c>
      <c r="N36" s="7" t="n">
        <f aca="false">COUNTIF(I36:M36,"Done")/5</f>
        <v>0</v>
      </c>
    </row>
    <row r="37" customFormat="false" ht="34.5" hidden="false" customHeight="true" outlineLevel="0" collapsed="false">
      <c r="A37" s="8" t="s">
        <v>121</v>
      </c>
      <c r="B37" s="8" t="s">
        <v>15</v>
      </c>
      <c r="C37" s="8" t="n">
        <v>28</v>
      </c>
      <c r="D37" s="9" t="s">
        <v>122</v>
      </c>
      <c r="E37" s="9" t="s">
        <v>123</v>
      </c>
      <c r="F37" s="9" t="s">
        <v>52</v>
      </c>
      <c r="G37" s="10" t="s">
        <v>19</v>
      </c>
      <c r="H37" s="9" t="s">
        <v>20</v>
      </c>
      <c r="I37" s="6" t="s">
        <v>21</v>
      </c>
      <c r="J37" s="6" t="s">
        <v>21</v>
      </c>
      <c r="K37" s="6" t="s">
        <v>21</v>
      </c>
      <c r="L37" s="6" t="s">
        <v>21</v>
      </c>
      <c r="M37" s="6" t="s">
        <v>21</v>
      </c>
      <c r="N37" s="7" t="n">
        <f aca="false">COUNTIF(I37:M37,"Done")/5</f>
        <v>0</v>
      </c>
    </row>
    <row r="38" customFormat="false" ht="34.5" hidden="false" customHeight="true" outlineLevel="0" collapsed="false">
      <c r="A38" s="3" t="s">
        <v>124</v>
      </c>
      <c r="B38" s="3" t="s">
        <v>23</v>
      </c>
      <c r="C38" s="3" t="n">
        <v>29</v>
      </c>
      <c r="D38" s="4" t="s">
        <v>125</v>
      </c>
      <c r="E38" s="4" t="s">
        <v>126</v>
      </c>
      <c r="F38" s="4" t="s">
        <v>18</v>
      </c>
      <c r="G38" s="5" t="s">
        <v>27</v>
      </c>
      <c r="H38" s="4" t="s">
        <v>20</v>
      </c>
      <c r="I38" s="6" t="s">
        <v>21</v>
      </c>
      <c r="J38" s="6" t="s">
        <v>21</v>
      </c>
      <c r="K38" s="6" t="s">
        <v>21</v>
      </c>
      <c r="L38" s="6" t="s">
        <v>21</v>
      </c>
      <c r="M38" s="6" t="s">
        <v>21</v>
      </c>
      <c r="N38" s="7" t="n">
        <f aca="false">COUNTIF(I38:M38,"Done")/5</f>
        <v>0</v>
      </c>
    </row>
    <row r="39" customFormat="false" ht="34.5" hidden="false" customHeight="true" outlineLevel="0" collapsed="false">
      <c r="A39" s="8" t="s">
        <v>127</v>
      </c>
      <c r="B39" s="8" t="s">
        <v>29</v>
      </c>
      <c r="C39" s="8" t="n">
        <v>30</v>
      </c>
      <c r="D39" s="9" t="s">
        <v>128</v>
      </c>
      <c r="E39" s="9" t="s">
        <v>129</v>
      </c>
      <c r="F39" s="9" t="s">
        <v>26</v>
      </c>
      <c r="G39" s="10" t="s">
        <v>19</v>
      </c>
      <c r="H39" s="9" t="s">
        <v>20</v>
      </c>
      <c r="I39" s="6" t="s">
        <v>21</v>
      </c>
      <c r="J39" s="6" t="s">
        <v>21</v>
      </c>
      <c r="K39" s="6" t="s">
        <v>21</v>
      </c>
      <c r="L39" s="6" t="s">
        <v>21</v>
      </c>
      <c r="M39" s="6" t="s">
        <v>21</v>
      </c>
      <c r="N39" s="7" t="n">
        <f aca="false">COUNTIF(I39:M39,"Done")/5</f>
        <v>0</v>
      </c>
    </row>
    <row r="40" customFormat="false" ht="34.5" hidden="false" customHeight="true" outlineLevel="0" collapsed="false">
      <c r="A40" s="3" t="s">
        <v>130</v>
      </c>
      <c r="B40" s="3" t="s">
        <v>34</v>
      </c>
      <c r="C40" s="3" t="n">
        <v>31</v>
      </c>
      <c r="D40" s="4" t="s">
        <v>35</v>
      </c>
      <c r="E40" s="4" t="s">
        <v>35</v>
      </c>
      <c r="F40" s="4" t="s">
        <v>35</v>
      </c>
      <c r="G40" s="5" t="s">
        <v>35</v>
      </c>
      <c r="H40" s="4" t="s">
        <v>35</v>
      </c>
      <c r="I40" s="6" t="s">
        <v>36</v>
      </c>
      <c r="J40" s="6" t="s">
        <v>36</v>
      </c>
      <c r="K40" s="6" t="s">
        <v>36</v>
      </c>
      <c r="L40" s="6" t="s">
        <v>36</v>
      </c>
      <c r="M40" s="6" t="s">
        <v>36</v>
      </c>
      <c r="N40" s="7" t="n">
        <f aca="false">COUNTIF(I40:M40,"Done")/5</f>
        <v>0</v>
      </c>
    </row>
    <row r="41" customFormat="false" ht="34.5" hidden="false" customHeight="true" outlineLevel="0" collapsed="false">
      <c r="A41" s="8" t="s">
        <v>131</v>
      </c>
      <c r="B41" s="8" t="s">
        <v>38</v>
      </c>
      <c r="C41" s="8" t="n">
        <v>32</v>
      </c>
      <c r="D41" s="9" t="s">
        <v>132</v>
      </c>
      <c r="E41" s="9" t="s">
        <v>133</v>
      </c>
      <c r="F41" s="9" t="s">
        <v>114</v>
      </c>
      <c r="G41" s="10" t="s">
        <v>42</v>
      </c>
      <c r="H41" s="9" t="s">
        <v>20</v>
      </c>
      <c r="I41" s="6" t="s">
        <v>21</v>
      </c>
      <c r="J41" s="6" t="s">
        <v>21</v>
      </c>
      <c r="K41" s="6" t="s">
        <v>21</v>
      </c>
      <c r="L41" s="6" t="s">
        <v>21</v>
      </c>
      <c r="M41" s="6" t="s">
        <v>21</v>
      </c>
      <c r="N41" s="7" t="n">
        <f aca="false">COUNTIF(I41:M41,"Done")/5</f>
        <v>0</v>
      </c>
    </row>
    <row r="42" customFormat="false" ht="34.5" hidden="false" customHeight="true" outlineLevel="0" collapsed="false">
      <c r="A42" s="3" t="s">
        <v>134</v>
      </c>
      <c r="B42" s="3" t="s">
        <v>44</v>
      </c>
      <c r="C42" s="3" t="n">
        <v>33</v>
      </c>
      <c r="D42" s="4" t="s">
        <v>135</v>
      </c>
      <c r="E42" s="4" t="s">
        <v>136</v>
      </c>
      <c r="F42" s="4" t="s">
        <v>41</v>
      </c>
      <c r="G42" s="5" t="s">
        <v>19</v>
      </c>
      <c r="H42" s="4" t="s">
        <v>20</v>
      </c>
      <c r="I42" s="6" t="s">
        <v>21</v>
      </c>
      <c r="J42" s="6" t="s">
        <v>21</v>
      </c>
      <c r="K42" s="6" t="s">
        <v>21</v>
      </c>
      <c r="L42" s="6" t="s">
        <v>21</v>
      </c>
      <c r="M42" s="6" t="s">
        <v>21</v>
      </c>
      <c r="N42" s="7" t="n">
        <f aca="false">COUNTIF(I42:M42,"Done")/5</f>
        <v>0</v>
      </c>
    </row>
    <row r="43" customFormat="false" ht="34.5" hidden="false" customHeight="true" outlineLevel="0" collapsed="false">
      <c r="A43" s="8" t="s">
        <v>137</v>
      </c>
      <c r="B43" s="8" t="s">
        <v>49</v>
      </c>
      <c r="C43" s="8" t="n">
        <v>34</v>
      </c>
      <c r="D43" s="9" t="s">
        <v>138</v>
      </c>
      <c r="E43" s="9" t="s">
        <v>139</v>
      </c>
      <c r="F43" s="9" t="s">
        <v>47</v>
      </c>
      <c r="G43" s="10" t="s">
        <v>19</v>
      </c>
      <c r="H43" s="9" t="s">
        <v>20</v>
      </c>
      <c r="I43" s="6" t="s">
        <v>21</v>
      </c>
      <c r="J43" s="6" t="s">
        <v>21</v>
      </c>
      <c r="K43" s="6" t="s">
        <v>21</v>
      </c>
      <c r="L43" s="6" t="s">
        <v>21</v>
      </c>
      <c r="M43" s="6" t="s">
        <v>21</v>
      </c>
      <c r="N43" s="7" t="n">
        <f aca="false">COUNTIF(I43:M43,"Done")/5</f>
        <v>0</v>
      </c>
    </row>
    <row r="44" customFormat="false" ht="34.5" hidden="false" customHeight="true" outlineLevel="0" collapsed="false">
      <c r="A44" s="3" t="s">
        <v>140</v>
      </c>
      <c r="B44" s="3" t="s">
        <v>15</v>
      </c>
      <c r="C44" s="3" t="n">
        <v>35</v>
      </c>
      <c r="D44" s="4" t="s">
        <v>141</v>
      </c>
      <c r="E44" s="4" t="s">
        <v>142</v>
      </c>
      <c r="F44" s="4" t="s">
        <v>52</v>
      </c>
      <c r="G44" s="5" t="s">
        <v>19</v>
      </c>
      <c r="H44" s="4" t="s">
        <v>20</v>
      </c>
      <c r="I44" s="6" t="s">
        <v>21</v>
      </c>
      <c r="J44" s="6" t="s">
        <v>21</v>
      </c>
      <c r="K44" s="6" t="s">
        <v>21</v>
      </c>
      <c r="L44" s="6" t="s">
        <v>21</v>
      </c>
      <c r="M44" s="6" t="s">
        <v>21</v>
      </c>
      <c r="N44" s="7" t="n">
        <f aca="false">COUNTIF(I44:M44,"Done")/5</f>
        <v>0</v>
      </c>
    </row>
    <row r="45" customFormat="false" ht="34.5" hidden="false" customHeight="true" outlineLevel="0" collapsed="false">
      <c r="A45" s="8" t="s">
        <v>143</v>
      </c>
      <c r="B45" s="8" t="s">
        <v>23</v>
      </c>
      <c r="C45" s="8" t="n">
        <v>36</v>
      </c>
      <c r="D45" s="9" t="s">
        <v>144</v>
      </c>
      <c r="E45" s="9" t="s">
        <v>145</v>
      </c>
      <c r="F45" s="9" t="s">
        <v>18</v>
      </c>
      <c r="G45" s="10" t="s">
        <v>27</v>
      </c>
      <c r="H45" s="9" t="s">
        <v>20</v>
      </c>
      <c r="I45" s="6" t="s">
        <v>21</v>
      </c>
      <c r="J45" s="6" t="s">
        <v>21</v>
      </c>
      <c r="K45" s="6" t="s">
        <v>21</v>
      </c>
      <c r="L45" s="6" t="s">
        <v>21</v>
      </c>
      <c r="M45" s="6" t="s">
        <v>21</v>
      </c>
      <c r="N45" s="7" t="n">
        <f aca="false">COUNTIF(I45:M45,"Done")/5</f>
        <v>0</v>
      </c>
    </row>
    <row r="46" customFormat="false" ht="34.5" hidden="false" customHeight="true" outlineLevel="0" collapsed="false">
      <c r="A46" s="3" t="s">
        <v>146</v>
      </c>
      <c r="B46" s="3" t="s">
        <v>29</v>
      </c>
      <c r="C46" s="3" t="n">
        <v>37</v>
      </c>
      <c r="D46" s="4" t="s">
        <v>147</v>
      </c>
      <c r="E46" s="4" t="s">
        <v>148</v>
      </c>
      <c r="F46" s="4" t="s">
        <v>26</v>
      </c>
      <c r="G46" s="5" t="s">
        <v>19</v>
      </c>
      <c r="H46" s="4" t="s">
        <v>20</v>
      </c>
      <c r="I46" s="6" t="s">
        <v>21</v>
      </c>
      <c r="J46" s="6" t="s">
        <v>21</v>
      </c>
      <c r="K46" s="6" t="s">
        <v>21</v>
      </c>
      <c r="L46" s="6" t="s">
        <v>21</v>
      </c>
      <c r="M46" s="6" t="s">
        <v>21</v>
      </c>
      <c r="N46" s="7" t="n">
        <f aca="false">COUNTIF(I46:M46,"Done")/5</f>
        <v>0</v>
      </c>
    </row>
    <row r="47" customFormat="false" ht="34.5" hidden="false" customHeight="true" outlineLevel="0" collapsed="false">
      <c r="A47" s="8" t="s">
        <v>149</v>
      </c>
      <c r="B47" s="8" t="s">
        <v>34</v>
      </c>
      <c r="C47" s="8" t="n">
        <v>38</v>
      </c>
      <c r="D47" s="9" t="s">
        <v>35</v>
      </c>
      <c r="E47" s="9" t="s">
        <v>35</v>
      </c>
      <c r="F47" s="9" t="s">
        <v>35</v>
      </c>
      <c r="G47" s="10" t="s">
        <v>35</v>
      </c>
      <c r="H47" s="9" t="s">
        <v>35</v>
      </c>
      <c r="I47" s="6" t="s">
        <v>36</v>
      </c>
      <c r="J47" s="6" t="s">
        <v>36</v>
      </c>
      <c r="K47" s="6" t="s">
        <v>36</v>
      </c>
      <c r="L47" s="6" t="s">
        <v>36</v>
      </c>
      <c r="M47" s="6" t="s">
        <v>36</v>
      </c>
      <c r="N47" s="7" t="n">
        <f aca="false">COUNTIF(I47:M47,"Done")/5</f>
        <v>0</v>
      </c>
    </row>
    <row r="48" customFormat="false" ht="34.5" hidden="false" customHeight="true" outlineLevel="0" collapsed="false">
      <c r="A48" s="3" t="s">
        <v>150</v>
      </c>
      <c r="B48" s="3" t="s">
        <v>38</v>
      </c>
      <c r="C48" s="3" t="n">
        <v>39</v>
      </c>
      <c r="D48" s="4" t="s">
        <v>151</v>
      </c>
      <c r="E48" s="4" t="s">
        <v>152</v>
      </c>
      <c r="F48" s="4" t="s">
        <v>114</v>
      </c>
      <c r="G48" s="5" t="s">
        <v>42</v>
      </c>
      <c r="H48" s="4" t="s">
        <v>20</v>
      </c>
      <c r="I48" s="6" t="s">
        <v>21</v>
      </c>
      <c r="J48" s="6" t="s">
        <v>21</v>
      </c>
      <c r="K48" s="6" t="s">
        <v>21</v>
      </c>
      <c r="L48" s="6" t="s">
        <v>21</v>
      </c>
      <c r="M48" s="6" t="s">
        <v>21</v>
      </c>
      <c r="N48" s="7" t="n">
        <f aca="false">COUNTIF(I48:M48,"Done")/5</f>
        <v>0</v>
      </c>
    </row>
    <row r="49" customFormat="false" ht="34.5" hidden="false" customHeight="true" outlineLevel="0" collapsed="false">
      <c r="A49" s="8" t="s">
        <v>153</v>
      </c>
      <c r="B49" s="8" t="s">
        <v>44</v>
      </c>
      <c r="C49" s="8" t="n">
        <v>40</v>
      </c>
      <c r="D49" s="9" t="s">
        <v>154</v>
      </c>
      <c r="E49" s="9" t="s">
        <v>155</v>
      </c>
      <c r="F49" s="9" t="s">
        <v>41</v>
      </c>
      <c r="G49" s="10" t="s">
        <v>19</v>
      </c>
      <c r="H49" s="9" t="s">
        <v>20</v>
      </c>
      <c r="I49" s="6" t="s">
        <v>21</v>
      </c>
      <c r="J49" s="6" t="s">
        <v>21</v>
      </c>
      <c r="K49" s="6" t="s">
        <v>21</v>
      </c>
      <c r="L49" s="6" t="s">
        <v>21</v>
      </c>
      <c r="M49" s="6" t="s">
        <v>21</v>
      </c>
      <c r="N49" s="7" t="n">
        <f aca="false">COUNTIF(I49:M49,"Done")/5</f>
        <v>0</v>
      </c>
    </row>
    <row r="50" customFormat="false" ht="34.5" hidden="false" customHeight="true" outlineLevel="0" collapsed="false">
      <c r="A50" s="3" t="s">
        <v>156</v>
      </c>
      <c r="B50" s="3" t="s">
        <v>49</v>
      </c>
      <c r="C50" s="3" t="n">
        <v>41</v>
      </c>
      <c r="D50" s="4" t="s">
        <v>157</v>
      </c>
      <c r="E50" s="4" t="s">
        <v>158</v>
      </c>
      <c r="F50" s="4" t="s">
        <v>47</v>
      </c>
      <c r="G50" s="5" t="s">
        <v>19</v>
      </c>
      <c r="H50" s="4" t="s">
        <v>20</v>
      </c>
      <c r="I50" s="6" t="s">
        <v>21</v>
      </c>
      <c r="J50" s="6" t="s">
        <v>21</v>
      </c>
      <c r="K50" s="6" t="s">
        <v>21</v>
      </c>
      <c r="L50" s="6" t="s">
        <v>21</v>
      </c>
      <c r="M50" s="6" t="s">
        <v>21</v>
      </c>
      <c r="N50" s="7" t="n">
        <f aca="false">COUNTIF(I50:M50,"Done")/5</f>
        <v>0</v>
      </c>
    </row>
    <row r="51" customFormat="false" ht="34.5" hidden="false" customHeight="true" outlineLevel="0" collapsed="false">
      <c r="A51" s="8" t="s">
        <v>159</v>
      </c>
      <c r="B51" s="8" t="s">
        <v>15</v>
      </c>
      <c r="C51" s="8" t="n">
        <v>42</v>
      </c>
      <c r="D51" s="9" t="s">
        <v>160</v>
      </c>
      <c r="E51" s="9" t="s">
        <v>161</v>
      </c>
      <c r="F51" s="9" t="s">
        <v>52</v>
      </c>
      <c r="G51" s="10" t="s">
        <v>19</v>
      </c>
      <c r="H51" s="9" t="s">
        <v>20</v>
      </c>
      <c r="I51" s="6" t="s">
        <v>21</v>
      </c>
      <c r="J51" s="6" t="s">
        <v>21</v>
      </c>
      <c r="K51" s="6" t="s">
        <v>21</v>
      </c>
      <c r="L51" s="6" t="s">
        <v>21</v>
      </c>
      <c r="M51" s="6" t="s">
        <v>21</v>
      </c>
      <c r="N51" s="7" t="n">
        <f aca="false">COUNTIF(I51:M51,"Done")/5</f>
        <v>0</v>
      </c>
    </row>
    <row r="52" customFormat="false" ht="34.5" hidden="false" customHeight="true" outlineLevel="0" collapsed="false">
      <c r="A52" s="3" t="s">
        <v>162</v>
      </c>
      <c r="B52" s="3" t="s">
        <v>23</v>
      </c>
      <c r="C52" s="3" t="n">
        <v>43</v>
      </c>
      <c r="D52" s="4" t="s">
        <v>163</v>
      </c>
      <c r="E52" s="4" t="s">
        <v>164</v>
      </c>
      <c r="F52" s="4" t="s">
        <v>18</v>
      </c>
      <c r="G52" s="5" t="s">
        <v>27</v>
      </c>
      <c r="H52" s="4" t="s">
        <v>20</v>
      </c>
      <c r="I52" s="6" t="s">
        <v>21</v>
      </c>
      <c r="J52" s="6" t="s">
        <v>21</v>
      </c>
      <c r="K52" s="6" t="s">
        <v>21</v>
      </c>
      <c r="L52" s="6" t="s">
        <v>21</v>
      </c>
      <c r="M52" s="6" t="s">
        <v>21</v>
      </c>
      <c r="N52" s="7" t="n">
        <f aca="false">COUNTIF(I52:M52,"Done")/5</f>
        <v>0</v>
      </c>
    </row>
    <row r="53" customFormat="false" ht="34.5" hidden="false" customHeight="true" outlineLevel="0" collapsed="false">
      <c r="A53" s="8" t="s">
        <v>165</v>
      </c>
      <c r="B53" s="8" t="s">
        <v>29</v>
      </c>
      <c r="C53" s="8" t="n">
        <v>44</v>
      </c>
      <c r="D53" s="9" t="s">
        <v>166</v>
      </c>
      <c r="E53" s="9" t="s">
        <v>167</v>
      </c>
      <c r="F53" s="9" t="s">
        <v>26</v>
      </c>
      <c r="G53" s="10" t="s">
        <v>19</v>
      </c>
      <c r="H53" s="9" t="s">
        <v>20</v>
      </c>
      <c r="I53" s="6" t="s">
        <v>21</v>
      </c>
      <c r="J53" s="6" t="s">
        <v>21</v>
      </c>
      <c r="K53" s="6" t="s">
        <v>21</v>
      </c>
      <c r="L53" s="6" t="s">
        <v>21</v>
      </c>
      <c r="M53" s="6" t="s">
        <v>21</v>
      </c>
      <c r="N53" s="7" t="n">
        <f aca="false">COUNTIF(I53:M53,"Done")/5</f>
        <v>0</v>
      </c>
    </row>
    <row r="54" customFormat="false" ht="34.5" hidden="false" customHeight="true" outlineLevel="0" collapsed="false">
      <c r="A54" s="3" t="s">
        <v>168</v>
      </c>
      <c r="B54" s="3" t="s">
        <v>34</v>
      </c>
      <c r="C54" s="3" t="n">
        <v>45</v>
      </c>
      <c r="D54" s="4" t="s">
        <v>35</v>
      </c>
      <c r="E54" s="4" t="s">
        <v>35</v>
      </c>
      <c r="F54" s="4" t="s">
        <v>35</v>
      </c>
      <c r="G54" s="5" t="s">
        <v>35</v>
      </c>
      <c r="H54" s="4" t="s">
        <v>35</v>
      </c>
      <c r="I54" s="6" t="s">
        <v>36</v>
      </c>
      <c r="J54" s="6" t="s">
        <v>36</v>
      </c>
      <c r="K54" s="6" t="s">
        <v>36</v>
      </c>
      <c r="L54" s="6" t="s">
        <v>36</v>
      </c>
      <c r="M54" s="6" t="s">
        <v>36</v>
      </c>
      <c r="N54" s="7" t="n">
        <f aca="false">COUNTIF(I54:M54,"Done")/5</f>
        <v>0</v>
      </c>
    </row>
    <row r="55" customFormat="false" ht="23.25" hidden="false" customHeight="true" outlineLevel="0" collapsed="false">
      <c r="A55" s="11" t="s">
        <v>169</v>
      </c>
      <c r="B55" s="11" t="s">
        <v>38</v>
      </c>
      <c r="C55" s="11" t="s">
        <v>170</v>
      </c>
      <c r="D55" s="12" t="s">
        <v>87</v>
      </c>
      <c r="E55" s="12" t="s">
        <v>88</v>
      </c>
      <c r="F55" s="12" t="s">
        <v>89</v>
      </c>
      <c r="G55" s="12" t="s">
        <v>90</v>
      </c>
      <c r="H55" s="12" t="s">
        <v>90</v>
      </c>
      <c r="I55" s="6" t="s">
        <v>36</v>
      </c>
      <c r="J55" s="6" t="s">
        <v>36</v>
      </c>
      <c r="K55" s="6" t="s">
        <v>36</v>
      </c>
      <c r="L55" s="6" t="s">
        <v>36</v>
      </c>
      <c r="M55" s="6" t="s">
        <v>36</v>
      </c>
      <c r="N55" s="7" t="n">
        <f aca="false">COUNTIF(I55:M55,"Done")/5</f>
        <v>0</v>
      </c>
    </row>
    <row r="56" customFormat="false" ht="23.25" hidden="false" customHeight="true" outlineLevel="0" collapsed="false">
      <c r="A56" s="11" t="s">
        <v>171</v>
      </c>
      <c r="B56" s="11" t="s">
        <v>44</v>
      </c>
      <c r="C56" s="11" t="s">
        <v>170</v>
      </c>
      <c r="D56" s="12" t="s">
        <v>87</v>
      </c>
      <c r="E56" s="12" t="s">
        <v>88</v>
      </c>
      <c r="F56" s="12" t="s">
        <v>89</v>
      </c>
      <c r="G56" s="12" t="s">
        <v>90</v>
      </c>
      <c r="H56" s="12" t="s">
        <v>90</v>
      </c>
      <c r="I56" s="6" t="s">
        <v>36</v>
      </c>
      <c r="J56" s="6" t="s">
        <v>36</v>
      </c>
      <c r="K56" s="6" t="s">
        <v>36</v>
      </c>
      <c r="L56" s="6" t="s">
        <v>36</v>
      </c>
      <c r="M56" s="6" t="s">
        <v>36</v>
      </c>
      <c r="N56" s="7" t="n">
        <f aca="false">COUNTIF(I56:M56,"Done")/5</f>
        <v>0</v>
      </c>
    </row>
    <row r="57" customFormat="false" ht="23.25" hidden="false" customHeight="true" outlineLevel="0" collapsed="false">
      <c r="A57" s="11" t="s">
        <v>172</v>
      </c>
      <c r="B57" s="11" t="s">
        <v>49</v>
      </c>
      <c r="C57" s="11" t="s">
        <v>170</v>
      </c>
      <c r="D57" s="12" t="s">
        <v>87</v>
      </c>
      <c r="E57" s="12" t="s">
        <v>88</v>
      </c>
      <c r="F57" s="12" t="s">
        <v>89</v>
      </c>
      <c r="G57" s="12" t="s">
        <v>90</v>
      </c>
      <c r="H57" s="12" t="s">
        <v>90</v>
      </c>
      <c r="I57" s="6" t="s">
        <v>36</v>
      </c>
      <c r="J57" s="6" t="s">
        <v>36</v>
      </c>
      <c r="K57" s="6" t="s">
        <v>36</v>
      </c>
      <c r="L57" s="6" t="s">
        <v>36</v>
      </c>
      <c r="M57" s="6" t="s">
        <v>36</v>
      </c>
      <c r="N57" s="7" t="n">
        <f aca="false">COUNTIF(I57:M57,"Done")/5</f>
        <v>0</v>
      </c>
    </row>
    <row r="58" customFormat="false" ht="23.25" hidden="false" customHeight="true" outlineLevel="0" collapsed="false">
      <c r="A58" s="11" t="s">
        <v>173</v>
      </c>
      <c r="B58" s="11" t="s">
        <v>15</v>
      </c>
      <c r="C58" s="11" t="s">
        <v>170</v>
      </c>
      <c r="D58" s="12" t="s">
        <v>87</v>
      </c>
      <c r="E58" s="12" t="s">
        <v>88</v>
      </c>
      <c r="F58" s="12" t="s">
        <v>89</v>
      </c>
      <c r="G58" s="12" t="s">
        <v>90</v>
      </c>
      <c r="H58" s="12" t="s">
        <v>90</v>
      </c>
      <c r="I58" s="6" t="s">
        <v>36</v>
      </c>
      <c r="J58" s="6" t="s">
        <v>36</v>
      </c>
      <c r="K58" s="6" t="s">
        <v>36</v>
      </c>
      <c r="L58" s="6" t="s">
        <v>36</v>
      </c>
      <c r="M58" s="6" t="s">
        <v>36</v>
      </c>
      <c r="N58" s="7" t="n">
        <f aca="false">COUNTIF(I58:M58,"Done")/5</f>
        <v>0</v>
      </c>
    </row>
    <row r="59" customFormat="false" ht="23.25" hidden="false" customHeight="true" outlineLevel="0" collapsed="false">
      <c r="A59" s="11" t="s">
        <v>174</v>
      </c>
      <c r="B59" s="11" t="s">
        <v>23</v>
      </c>
      <c r="C59" s="11" t="s">
        <v>170</v>
      </c>
      <c r="D59" s="12" t="s">
        <v>87</v>
      </c>
      <c r="E59" s="12" t="s">
        <v>88</v>
      </c>
      <c r="F59" s="12" t="s">
        <v>89</v>
      </c>
      <c r="G59" s="12" t="s">
        <v>90</v>
      </c>
      <c r="H59" s="12" t="s">
        <v>90</v>
      </c>
      <c r="I59" s="6" t="s">
        <v>36</v>
      </c>
      <c r="J59" s="6" t="s">
        <v>36</v>
      </c>
      <c r="K59" s="6" t="s">
        <v>36</v>
      </c>
      <c r="L59" s="6" t="s">
        <v>36</v>
      </c>
      <c r="M59" s="6" t="s">
        <v>36</v>
      </c>
      <c r="N59" s="7" t="n">
        <f aca="false">COUNTIF(I59:M59,"Done")/5</f>
        <v>0</v>
      </c>
    </row>
    <row r="60" customFormat="false" ht="23.25" hidden="false" customHeight="true" outlineLevel="0" collapsed="false">
      <c r="A60" s="11" t="s">
        <v>175</v>
      </c>
      <c r="B60" s="11" t="s">
        <v>29</v>
      </c>
      <c r="C60" s="11" t="s">
        <v>170</v>
      </c>
      <c r="D60" s="12" t="s">
        <v>87</v>
      </c>
      <c r="E60" s="12" t="s">
        <v>88</v>
      </c>
      <c r="F60" s="12" t="s">
        <v>89</v>
      </c>
      <c r="G60" s="12" t="s">
        <v>90</v>
      </c>
      <c r="H60" s="12" t="s">
        <v>90</v>
      </c>
      <c r="I60" s="6" t="s">
        <v>36</v>
      </c>
      <c r="J60" s="6" t="s">
        <v>36</v>
      </c>
      <c r="K60" s="6" t="s">
        <v>36</v>
      </c>
      <c r="L60" s="6" t="s">
        <v>36</v>
      </c>
      <c r="M60" s="6" t="s">
        <v>36</v>
      </c>
      <c r="N60" s="7" t="n">
        <f aca="false">COUNTIF(I60:M60,"Done")/5</f>
        <v>0</v>
      </c>
    </row>
    <row r="61" customFormat="false" ht="23.25" hidden="false" customHeight="true" outlineLevel="0" collapsed="false">
      <c r="A61" s="11" t="s">
        <v>176</v>
      </c>
      <c r="B61" s="11" t="s">
        <v>34</v>
      </c>
      <c r="C61" s="11" t="s">
        <v>170</v>
      </c>
      <c r="D61" s="12" t="s">
        <v>35</v>
      </c>
      <c r="E61" s="12" t="s">
        <v>35</v>
      </c>
      <c r="F61" s="12" t="s">
        <v>35</v>
      </c>
      <c r="G61" s="12" t="s">
        <v>35</v>
      </c>
      <c r="H61" s="12" t="s">
        <v>35</v>
      </c>
      <c r="I61" s="6" t="s">
        <v>36</v>
      </c>
      <c r="J61" s="6" t="s">
        <v>36</v>
      </c>
      <c r="K61" s="6" t="s">
        <v>36</v>
      </c>
      <c r="L61" s="6" t="s">
        <v>36</v>
      </c>
      <c r="M61" s="6" t="s">
        <v>36</v>
      </c>
      <c r="N61" s="7" t="n">
        <f aca="false">COUNTIF(I61:M61,"Done")/5</f>
        <v>0</v>
      </c>
    </row>
    <row r="62" customFormat="false" ht="23.25" hidden="false" customHeight="true" outlineLevel="0" collapsed="false">
      <c r="A62" s="11" t="s">
        <v>177</v>
      </c>
      <c r="B62" s="11" t="s">
        <v>38</v>
      </c>
      <c r="C62" s="11" t="s">
        <v>170</v>
      </c>
      <c r="D62" s="12" t="s">
        <v>87</v>
      </c>
      <c r="E62" s="12" t="s">
        <v>88</v>
      </c>
      <c r="F62" s="12" t="s">
        <v>89</v>
      </c>
      <c r="G62" s="12" t="s">
        <v>90</v>
      </c>
      <c r="H62" s="12" t="s">
        <v>90</v>
      </c>
      <c r="I62" s="6" t="s">
        <v>36</v>
      </c>
      <c r="J62" s="6" t="s">
        <v>36</v>
      </c>
      <c r="K62" s="6" t="s">
        <v>36</v>
      </c>
      <c r="L62" s="6" t="s">
        <v>36</v>
      </c>
      <c r="M62" s="6" t="s">
        <v>36</v>
      </c>
      <c r="N62" s="7" t="n">
        <f aca="false">COUNTIF(I62:M62,"Done")/5</f>
        <v>0</v>
      </c>
    </row>
    <row r="63" customFormat="false" ht="23.25" hidden="false" customHeight="true" outlineLevel="0" collapsed="false">
      <c r="A63" s="11" t="s">
        <v>178</v>
      </c>
      <c r="B63" s="11" t="s">
        <v>44</v>
      </c>
      <c r="C63" s="11" t="s">
        <v>170</v>
      </c>
      <c r="D63" s="12" t="s">
        <v>87</v>
      </c>
      <c r="E63" s="12" t="s">
        <v>88</v>
      </c>
      <c r="F63" s="12" t="s">
        <v>89</v>
      </c>
      <c r="G63" s="12" t="s">
        <v>90</v>
      </c>
      <c r="H63" s="12" t="s">
        <v>90</v>
      </c>
      <c r="I63" s="6" t="s">
        <v>36</v>
      </c>
      <c r="J63" s="6" t="s">
        <v>36</v>
      </c>
      <c r="K63" s="6" t="s">
        <v>36</v>
      </c>
      <c r="L63" s="6" t="s">
        <v>36</v>
      </c>
      <c r="M63" s="6" t="s">
        <v>36</v>
      </c>
      <c r="N63" s="7" t="n">
        <f aca="false">COUNTIF(I63:M63,"Done")/5</f>
        <v>0</v>
      </c>
    </row>
    <row r="64" customFormat="false" ht="34.5" hidden="false" customHeight="true" outlineLevel="0" collapsed="false">
      <c r="A64" s="8" t="s">
        <v>179</v>
      </c>
      <c r="B64" s="8" t="s">
        <v>49</v>
      </c>
      <c r="C64" s="8" t="n">
        <v>46</v>
      </c>
      <c r="D64" s="9" t="s">
        <v>180</v>
      </c>
      <c r="E64" s="9" t="s">
        <v>181</v>
      </c>
      <c r="F64" s="9" t="s">
        <v>114</v>
      </c>
      <c r="G64" s="10" t="s">
        <v>19</v>
      </c>
      <c r="H64" s="9" t="s">
        <v>20</v>
      </c>
      <c r="I64" s="6" t="s">
        <v>21</v>
      </c>
      <c r="J64" s="6" t="s">
        <v>21</v>
      </c>
      <c r="K64" s="6" t="s">
        <v>21</v>
      </c>
      <c r="L64" s="6" t="s">
        <v>21</v>
      </c>
      <c r="M64" s="6" t="s">
        <v>21</v>
      </c>
      <c r="N64" s="7" t="n">
        <f aca="false">COUNTIF(I64:M64,"Done")/5</f>
        <v>0</v>
      </c>
    </row>
    <row r="65" customFormat="false" ht="34.5" hidden="false" customHeight="true" outlineLevel="0" collapsed="false">
      <c r="A65" s="3" t="s">
        <v>182</v>
      </c>
      <c r="B65" s="3" t="s">
        <v>15</v>
      </c>
      <c r="C65" s="3" t="n">
        <v>47</v>
      </c>
      <c r="D65" s="4" t="s">
        <v>183</v>
      </c>
      <c r="E65" s="4" t="s">
        <v>184</v>
      </c>
      <c r="F65" s="4" t="s">
        <v>41</v>
      </c>
      <c r="G65" s="5" t="s">
        <v>19</v>
      </c>
      <c r="H65" s="4" t="s">
        <v>20</v>
      </c>
      <c r="I65" s="6" t="s">
        <v>21</v>
      </c>
      <c r="J65" s="6" t="s">
        <v>21</v>
      </c>
      <c r="K65" s="6" t="s">
        <v>21</v>
      </c>
      <c r="L65" s="6" t="s">
        <v>21</v>
      </c>
      <c r="M65" s="6" t="s">
        <v>21</v>
      </c>
      <c r="N65" s="7" t="n">
        <f aca="false">COUNTIF(I65:M65,"Done")/5</f>
        <v>0</v>
      </c>
    </row>
    <row r="66" customFormat="false" ht="34.5" hidden="false" customHeight="true" outlineLevel="0" collapsed="false">
      <c r="A66" s="8" t="s">
        <v>185</v>
      </c>
      <c r="B66" s="8" t="s">
        <v>23</v>
      </c>
      <c r="C66" s="8" t="n">
        <v>48</v>
      </c>
      <c r="D66" s="9" t="s">
        <v>186</v>
      </c>
      <c r="E66" s="9" t="s">
        <v>187</v>
      </c>
      <c r="F66" s="9" t="s">
        <v>47</v>
      </c>
      <c r="G66" s="10" t="s">
        <v>27</v>
      </c>
      <c r="H66" s="9" t="s">
        <v>20</v>
      </c>
      <c r="I66" s="6" t="s">
        <v>21</v>
      </c>
      <c r="J66" s="6" t="s">
        <v>21</v>
      </c>
      <c r="K66" s="6" t="s">
        <v>21</v>
      </c>
      <c r="L66" s="6" t="s">
        <v>21</v>
      </c>
      <c r="M66" s="6" t="s">
        <v>21</v>
      </c>
      <c r="N66" s="7" t="n">
        <f aca="false">COUNTIF(I66:M66,"Done")/5</f>
        <v>0</v>
      </c>
    </row>
    <row r="67" customFormat="false" ht="34.5" hidden="false" customHeight="true" outlineLevel="0" collapsed="false">
      <c r="A67" s="3" t="s">
        <v>188</v>
      </c>
      <c r="B67" s="3" t="s">
        <v>29</v>
      </c>
      <c r="C67" s="3" t="n">
        <v>49</v>
      </c>
      <c r="D67" s="4" t="s">
        <v>189</v>
      </c>
      <c r="E67" s="4" t="s">
        <v>190</v>
      </c>
      <c r="F67" s="4" t="s">
        <v>52</v>
      </c>
      <c r="G67" s="5" t="s">
        <v>19</v>
      </c>
      <c r="H67" s="4" t="s">
        <v>20</v>
      </c>
      <c r="I67" s="6" t="s">
        <v>21</v>
      </c>
      <c r="J67" s="6" t="s">
        <v>21</v>
      </c>
      <c r="K67" s="6" t="s">
        <v>21</v>
      </c>
      <c r="L67" s="6" t="s">
        <v>21</v>
      </c>
      <c r="M67" s="6" t="s">
        <v>21</v>
      </c>
      <c r="N67" s="7" t="n">
        <f aca="false">COUNTIF(I67:M67,"Done")/5</f>
        <v>0</v>
      </c>
    </row>
    <row r="68" customFormat="false" ht="34.5" hidden="false" customHeight="true" outlineLevel="0" collapsed="false">
      <c r="A68" s="8" t="s">
        <v>191</v>
      </c>
      <c r="B68" s="8" t="s">
        <v>34</v>
      </c>
      <c r="C68" s="8" t="n">
        <v>50</v>
      </c>
      <c r="D68" s="9" t="s">
        <v>35</v>
      </c>
      <c r="E68" s="9" t="s">
        <v>35</v>
      </c>
      <c r="F68" s="9" t="s">
        <v>35</v>
      </c>
      <c r="G68" s="10" t="s">
        <v>35</v>
      </c>
      <c r="H68" s="9" t="s">
        <v>35</v>
      </c>
      <c r="I68" s="6" t="s">
        <v>36</v>
      </c>
      <c r="J68" s="6" t="s">
        <v>36</v>
      </c>
      <c r="K68" s="6" t="s">
        <v>36</v>
      </c>
      <c r="L68" s="6" t="s">
        <v>36</v>
      </c>
      <c r="M68" s="6" t="s">
        <v>36</v>
      </c>
      <c r="N68" s="7" t="n">
        <f aca="false">COUNTIF(I68:M68,"Done")/5</f>
        <v>0</v>
      </c>
    </row>
    <row r="69" customFormat="false" ht="34.5" hidden="false" customHeight="true" outlineLevel="0" collapsed="false">
      <c r="A69" s="3" t="s">
        <v>192</v>
      </c>
      <c r="B69" s="3" t="s">
        <v>38</v>
      </c>
      <c r="C69" s="3" t="n">
        <v>51</v>
      </c>
      <c r="D69" s="4" t="s">
        <v>193</v>
      </c>
      <c r="E69" s="4" t="s">
        <v>194</v>
      </c>
      <c r="F69" s="4" t="s">
        <v>26</v>
      </c>
      <c r="G69" s="5" t="s">
        <v>42</v>
      </c>
      <c r="H69" s="4" t="s">
        <v>20</v>
      </c>
      <c r="I69" s="6" t="s">
        <v>21</v>
      </c>
      <c r="J69" s="6" t="s">
        <v>21</v>
      </c>
      <c r="K69" s="6" t="s">
        <v>21</v>
      </c>
      <c r="L69" s="6" t="s">
        <v>21</v>
      </c>
      <c r="M69" s="6" t="s">
        <v>21</v>
      </c>
      <c r="N69" s="7" t="n">
        <f aca="false">COUNTIF(I69:M69,"Done")/5</f>
        <v>0</v>
      </c>
    </row>
    <row r="70" customFormat="false" ht="34.5" hidden="false" customHeight="true" outlineLevel="0" collapsed="false">
      <c r="A70" s="8" t="s">
        <v>195</v>
      </c>
      <c r="B70" s="8" t="s">
        <v>44</v>
      </c>
      <c r="C70" s="8" t="n">
        <v>52</v>
      </c>
      <c r="D70" s="9" t="s">
        <v>196</v>
      </c>
      <c r="E70" s="9" t="s">
        <v>197</v>
      </c>
      <c r="F70" s="9" t="s">
        <v>32</v>
      </c>
      <c r="G70" s="10" t="s">
        <v>19</v>
      </c>
      <c r="H70" s="9" t="s">
        <v>20</v>
      </c>
      <c r="I70" s="6" t="s">
        <v>21</v>
      </c>
      <c r="J70" s="6" t="s">
        <v>21</v>
      </c>
      <c r="K70" s="6" t="s">
        <v>21</v>
      </c>
      <c r="L70" s="6" t="s">
        <v>21</v>
      </c>
      <c r="M70" s="6" t="s">
        <v>21</v>
      </c>
      <c r="N70" s="7" t="n">
        <f aca="false">COUNTIF(I70:M70,"Done")/5</f>
        <v>0</v>
      </c>
    </row>
    <row r="71" customFormat="false" ht="34.5" hidden="false" customHeight="true" outlineLevel="0" collapsed="false">
      <c r="A71" s="3" t="s">
        <v>198</v>
      </c>
      <c r="B71" s="3" t="s">
        <v>49</v>
      </c>
      <c r="C71" s="3" t="n">
        <v>53</v>
      </c>
      <c r="D71" s="4" t="s">
        <v>199</v>
      </c>
      <c r="E71" s="4" t="s">
        <v>200</v>
      </c>
      <c r="F71" s="4" t="s">
        <v>114</v>
      </c>
      <c r="G71" s="5" t="s">
        <v>19</v>
      </c>
      <c r="H71" s="4" t="s">
        <v>20</v>
      </c>
      <c r="I71" s="6" t="s">
        <v>21</v>
      </c>
      <c r="J71" s="6" t="s">
        <v>21</v>
      </c>
      <c r="K71" s="6" t="s">
        <v>21</v>
      </c>
      <c r="L71" s="6" t="s">
        <v>21</v>
      </c>
      <c r="M71" s="6" t="s">
        <v>21</v>
      </c>
      <c r="N71" s="7" t="n">
        <f aca="false">COUNTIF(I71:M71,"Done")/5</f>
        <v>0</v>
      </c>
    </row>
    <row r="72" customFormat="false" ht="34.5" hidden="false" customHeight="true" outlineLevel="0" collapsed="false">
      <c r="A72" s="8" t="s">
        <v>201</v>
      </c>
      <c r="B72" s="8" t="s">
        <v>15</v>
      </c>
      <c r="C72" s="8" t="n">
        <v>54</v>
      </c>
      <c r="D72" s="9" t="s">
        <v>202</v>
      </c>
      <c r="E72" s="9" t="s">
        <v>203</v>
      </c>
      <c r="F72" s="9" t="s">
        <v>41</v>
      </c>
      <c r="G72" s="10" t="s">
        <v>19</v>
      </c>
      <c r="H72" s="9" t="s">
        <v>20</v>
      </c>
      <c r="I72" s="6" t="s">
        <v>21</v>
      </c>
      <c r="J72" s="6" t="s">
        <v>21</v>
      </c>
      <c r="K72" s="6" t="s">
        <v>21</v>
      </c>
      <c r="L72" s="6" t="s">
        <v>21</v>
      </c>
      <c r="M72" s="6" t="s">
        <v>21</v>
      </c>
      <c r="N72" s="7" t="n">
        <f aca="false">COUNTIF(I72:M72,"Done")/5</f>
        <v>0</v>
      </c>
    </row>
    <row r="73" customFormat="false" ht="34.5" hidden="false" customHeight="true" outlineLevel="0" collapsed="false">
      <c r="A73" s="3" t="s">
        <v>204</v>
      </c>
      <c r="B73" s="3" t="s">
        <v>23</v>
      </c>
      <c r="C73" s="3" t="n">
        <v>55</v>
      </c>
      <c r="D73" s="4" t="s">
        <v>205</v>
      </c>
      <c r="E73" s="4" t="s">
        <v>206</v>
      </c>
      <c r="F73" s="4" t="s">
        <v>47</v>
      </c>
      <c r="G73" s="5" t="s">
        <v>27</v>
      </c>
      <c r="H73" s="4" t="s">
        <v>20</v>
      </c>
      <c r="I73" s="6" t="s">
        <v>21</v>
      </c>
      <c r="J73" s="6" t="s">
        <v>21</v>
      </c>
      <c r="K73" s="6" t="s">
        <v>21</v>
      </c>
      <c r="L73" s="6" t="s">
        <v>21</v>
      </c>
      <c r="M73" s="6" t="s">
        <v>21</v>
      </c>
      <c r="N73" s="7" t="n">
        <f aca="false">COUNTIF(I73:M73,"Done")/5</f>
        <v>0</v>
      </c>
    </row>
    <row r="74" customFormat="false" ht="34.5" hidden="false" customHeight="true" outlineLevel="0" collapsed="false">
      <c r="A74" s="8" t="s">
        <v>207</v>
      </c>
      <c r="B74" s="8" t="s">
        <v>29</v>
      </c>
      <c r="C74" s="8" t="n">
        <v>56</v>
      </c>
      <c r="D74" s="9" t="s">
        <v>208</v>
      </c>
      <c r="E74" s="9" t="s">
        <v>209</v>
      </c>
      <c r="F74" s="9" t="s">
        <v>52</v>
      </c>
      <c r="G74" s="10" t="s">
        <v>19</v>
      </c>
      <c r="H74" s="9" t="s">
        <v>20</v>
      </c>
      <c r="I74" s="6" t="s">
        <v>21</v>
      </c>
      <c r="J74" s="6" t="s">
        <v>21</v>
      </c>
      <c r="K74" s="6" t="s">
        <v>21</v>
      </c>
      <c r="L74" s="6" t="s">
        <v>21</v>
      </c>
      <c r="M74" s="6" t="s">
        <v>21</v>
      </c>
      <c r="N74" s="7" t="n">
        <f aca="false">COUNTIF(I74:M74,"Done")/5</f>
        <v>0</v>
      </c>
    </row>
    <row r="75" customFormat="false" ht="34.5" hidden="false" customHeight="true" outlineLevel="0" collapsed="false">
      <c r="A75" s="3" t="s">
        <v>210</v>
      </c>
      <c r="B75" s="3" t="s">
        <v>34</v>
      </c>
      <c r="C75" s="3" t="n">
        <v>57</v>
      </c>
      <c r="D75" s="4" t="s">
        <v>35</v>
      </c>
      <c r="E75" s="4" t="s">
        <v>35</v>
      </c>
      <c r="F75" s="4" t="s">
        <v>35</v>
      </c>
      <c r="G75" s="5" t="s">
        <v>35</v>
      </c>
      <c r="H75" s="4" t="s">
        <v>35</v>
      </c>
      <c r="I75" s="6" t="s">
        <v>36</v>
      </c>
      <c r="J75" s="6" t="s">
        <v>36</v>
      </c>
      <c r="K75" s="6" t="s">
        <v>36</v>
      </c>
      <c r="L75" s="6" t="s">
        <v>36</v>
      </c>
      <c r="M75" s="6" t="s">
        <v>36</v>
      </c>
      <c r="N75" s="7" t="n">
        <f aca="false">COUNTIF(I75:M75,"Done")/5</f>
        <v>0</v>
      </c>
    </row>
    <row r="76" customFormat="false" ht="23.25" hidden="false" customHeight="true" outlineLevel="0" collapsed="false">
      <c r="A76" s="11" t="s">
        <v>211</v>
      </c>
      <c r="B76" s="11" t="s">
        <v>38</v>
      </c>
      <c r="C76" s="11" t="s">
        <v>212</v>
      </c>
      <c r="D76" s="12" t="s">
        <v>87</v>
      </c>
      <c r="E76" s="12" t="s">
        <v>88</v>
      </c>
      <c r="F76" s="12" t="s">
        <v>89</v>
      </c>
      <c r="G76" s="12" t="s">
        <v>90</v>
      </c>
      <c r="H76" s="12" t="s">
        <v>90</v>
      </c>
      <c r="I76" s="6" t="s">
        <v>36</v>
      </c>
      <c r="J76" s="6" t="s">
        <v>36</v>
      </c>
      <c r="K76" s="6" t="s">
        <v>36</v>
      </c>
      <c r="L76" s="6" t="s">
        <v>36</v>
      </c>
      <c r="M76" s="6" t="s">
        <v>36</v>
      </c>
      <c r="N76" s="7" t="n">
        <f aca="false">COUNTIF(I76:M76,"Done")/5</f>
        <v>0</v>
      </c>
    </row>
    <row r="77" customFormat="false" ht="23.25" hidden="false" customHeight="true" outlineLevel="0" collapsed="false">
      <c r="A77" s="11" t="s">
        <v>213</v>
      </c>
      <c r="B77" s="11" t="s">
        <v>44</v>
      </c>
      <c r="C77" s="11" t="s">
        <v>212</v>
      </c>
      <c r="D77" s="12" t="s">
        <v>87</v>
      </c>
      <c r="E77" s="12" t="s">
        <v>88</v>
      </c>
      <c r="F77" s="12" t="s">
        <v>89</v>
      </c>
      <c r="G77" s="12" t="s">
        <v>90</v>
      </c>
      <c r="H77" s="12" t="s">
        <v>90</v>
      </c>
      <c r="I77" s="6" t="s">
        <v>36</v>
      </c>
      <c r="J77" s="6" t="s">
        <v>36</v>
      </c>
      <c r="K77" s="6" t="s">
        <v>36</v>
      </c>
      <c r="L77" s="6" t="s">
        <v>36</v>
      </c>
      <c r="M77" s="6" t="s">
        <v>36</v>
      </c>
      <c r="N77" s="7" t="n">
        <f aca="false">COUNTIF(I77:M77,"Done")/5</f>
        <v>0</v>
      </c>
    </row>
    <row r="78" customFormat="false" ht="23.25" hidden="false" customHeight="true" outlineLevel="0" collapsed="false">
      <c r="A78" s="11" t="s">
        <v>214</v>
      </c>
      <c r="B78" s="11" t="s">
        <v>49</v>
      </c>
      <c r="C78" s="11" t="s">
        <v>212</v>
      </c>
      <c r="D78" s="12" t="s">
        <v>87</v>
      </c>
      <c r="E78" s="12" t="s">
        <v>88</v>
      </c>
      <c r="F78" s="12" t="s">
        <v>89</v>
      </c>
      <c r="G78" s="12" t="s">
        <v>90</v>
      </c>
      <c r="H78" s="12" t="s">
        <v>90</v>
      </c>
      <c r="I78" s="6" t="s">
        <v>36</v>
      </c>
      <c r="J78" s="6" t="s">
        <v>36</v>
      </c>
      <c r="K78" s="6" t="s">
        <v>36</v>
      </c>
      <c r="L78" s="6" t="s">
        <v>36</v>
      </c>
      <c r="M78" s="6" t="s">
        <v>36</v>
      </c>
      <c r="N78" s="7" t="n">
        <f aca="false">COUNTIF(I78:M78,"Done")/5</f>
        <v>0</v>
      </c>
    </row>
    <row r="79" customFormat="false" ht="23.25" hidden="false" customHeight="true" outlineLevel="0" collapsed="false">
      <c r="A79" s="11" t="s">
        <v>215</v>
      </c>
      <c r="B79" s="11" t="s">
        <v>15</v>
      </c>
      <c r="C79" s="11" t="s">
        <v>212</v>
      </c>
      <c r="D79" s="12" t="s">
        <v>87</v>
      </c>
      <c r="E79" s="12" t="s">
        <v>88</v>
      </c>
      <c r="F79" s="12" t="s">
        <v>89</v>
      </c>
      <c r="G79" s="12" t="s">
        <v>90</v>
      </c>
      <c r="H79" s="12" t="s">
        <v>90</v>
      </c>
      <c r="I79" s="6" t="s">
        <v>36</v>
      </c>
      <c r="J79" s="6" t="s">
        <v>36</v>
      </c>
      <c r="K79" s="6" t="s">
        <v>36</v>
      </c>
      <c r="L79" s="6" t="s">
        <v>36</v>
      </c>
      <c r="M79" s="6" t="s">
        <v>36</v>
      </c>
      <c r="N79" s="7" t="n">
        <f aca="false">COUNTIF(I79:M79,"Done")/5</f>
        <v>0</v>
      </c>
    </row>
    <row r="80" customFormat="false" ht="23.25" hidden="false" customHeight="true" outlineLevel="0" collapsed="false">
      <c r="A80" s="11" t="s">
        <v>216</v>
      </c>
      <c r="B80" s="11" t="s">
        <v>23</v>
      </c>
      <c r="C80" s="11" t="s">
        <v>212</v>
      </c>
      <c r="D80" s="12" t="s">
        <v>87</v>
      </c>
      <c r="E80" s="12" t="s">
        <v>88</v>
      </c>
      <c r="F80" s="12" t="s">
        <v>89</v>
      </c>
      <c r="G80" s="12" t="s">
        <v>90</v>
      </c>
      <c r="H80" s="12" t="s">
        <v>90</v>
      </c>
      <c r="I80" s="6" t="s">
        <v>36</v>
      </c>
      <c r="J80" s="6" t="s">
        <v>36</v>
      </c>
      <c r="K80" s="6" t="s">
        <v>36</v>
      </c>
      <c r="L80" s="6" t="s">
        <v>36</v>
      </c>
      <c r="M80" s="6" t="s">
        <v>36</v>
      </c>
      <c r="N80" s="7" t="n">
        <f aca="false">COUNTIF(I80:M80,"Done")/5</f>
        <v>0</v>
      </c>
    </row>
    <row r="81" customFormat="false" ht="23.25" hidden="false" customHeight="true" outlineLevel="0" collapsed="false">
      <c r="A81" s="11" t="s">
        <v>217</v>
      </c>
      <c r="B81" s="11" t="s">
        <v>29</v>
      </c>
      <c r="C81" s="11" t="s">
        <v>212</v>
      </c>
      <c r="D81" s="12" t="s">
        <v>87</v>
      </c>
      <c r="E81" s="12" t="s">
        <v>88</v>
      </c>
      <c r="F81" s="12" t="s">
        <v>89</v>
      </c>
      <c r="G81" s="12" t="s">
        <v>90</v>
      </c>
      <c r="H81" s="12" t="s">
        <v>90</v>
      </c>
      <c r="I81" s="6" t="s">
        <v>36</v>
      </c>
      <c r="J81" s="6" t="s">
        <v>36</v>
      </c>
      <c r="K81" s="6" t="s">
        <v>36</v>
      </c>
      <c r="L81" s="6" t="s">
        <v>36</v>
      </c>
      <c r="M81" s="6" t="s">
        <v>36</v>
      </c>
      <c r="N81" s="7" t="n">
        <f aca="false">COUNTIF(I81:M81,"Done")/5</f>
        <v>0</v>
      </c>
    </row>
    <row r="82" customFormat="false" ht="23.25" hidden="false" customHeight="true" outlineLevel="0" collapsed="false">
      <c r="A82" s="11" t="s">
        <v>218</v>
      </c>
      <c r="B82" s="11" t="s">
        <v>34</v>
      </c>
      <c r="C82" s="11" t="s">
        <v>212</v>
      </c>
      <c r="D82" s="12" t="s">
        <v>35</v>
      </c>
      <c r="E82" s="12" t="s">
        <v>35</v>
      </c>
      <c r="F82" s="12" t="s">
        <v>35</v>
      </c>
      <c r="G82" s="12" t="s">
        <v>35</v>
      </c>
      <c r="H82" s="12" t="s">
        <v>35</v>
      </c>
      <c r="I82" s="6" t="s">
        <v>36</v>
      </c>
      <c r="J82" s="6" t="s">
        <v>36</v>
      </c>
      <c r="K82" s="6" t="s">
        <v>36</v>
      </c>
      <c r="L82" s="6" t="s">
        <v>36</v>
      </c>
      <c r="M82" s="6" t="s">
        <v>36</v>
      </c>
      <c r="N82" s="7" t="n">
        <f aca="false">COUNTIF(I82:M82,"Done")/5</f>
        <v>0</v>
      </c>
    </row>
    <row r="83" customFormat="false" ht="23.25" hidden="false" customHeight="true" outlineLevel="0" collapsed="false">
      <c r="A83" s="11" t="s">
        <v>219</v>
      </c>
      <c r="B83" s="11" t="s">
        <v>38</v>
      </c>
      <c r="C83" s="11" t="s">
        <v>212</v>
      </c>
      <c r="D83" s="12" t="s">
        <v>87</v>
      </c>
      <c r="E83" s="12" t="s">
        <v>88</v>
      </c>
      <c r="F83" s="12" t="s">
        <v>89</v>
      </c>
      <c r="G83" s="12" t="s">
        <v>90</v>
      </c>
      <c r="H83" s="12" t="s">
        <v>90</v>
      </c>
      <c r="I83" s="6" t="s">
        <v>36</v>
      </c>
      <c r="J83" s="6" t="s">
        <v>36</v>
      </c>
      <c r="K83" s="6" t="s">
        <v>36</v>
      </c>
      <c r="L83" s="6" t="s">
        <v>36</v>
      </c>
      <c r="M83" s="6" t="s">
        <v>36</v>
      </c>
      <c r="N83" s="7" t="n">
        <f aca="false">COUNTIF(I83:M83,"Done")/5</f>
        <v>0</v>
      </c>
    </row>
    <row r="84" customFormat="false" ht="23.25" hidden="false" customHeight="true" outlineLevel="0" collapsed="false">
      <c r="A84" s="11" t="s">
        <v>220</v>
      </c>
      <c r="B84" s="11" t="s">
        <v>44</v>
      </c>
      <c r="C84" s="11" t="s">
        <v>212</v>
      </c>
      <c r="D84" s="12" t="s">
        <v>87</v>
      </c>
      <c r="E84" s="12" t="s">
        <v>88</v>
      </c>
      <c r="F84" s="12" t="s">
        <v>89</v>
      </c>
      <c r="G84" s="12" t="s">
        <v>90</v>
      </c>
      <c r="H84" s="12" t="s">
        <v>90</v>
      </c>
      <c r="I84" s="6" t="s">
        <v>36</v>
      </c>
      <c r="J84" s="6" t="s">
        <v>36</v>
      </c>
      <c r="K84" s="6" t="s">
        <v>36</v>
      </c>
      <c r="L84" s="6" t="s">
        <v>36</v>
      </c>
      <c r="M84" s="6" t="s">
        <v>36</v>
      </c>
      <c r="N84" s="7" t="n">
        <f aca="false">COUNTIF(I84:M84,"Done")/5</f>
        <v>0</v>
      </c>
    </row>
    <row r="85" customFormat="false" ht="34.5" hidden="false" customHeight="true" outlineLevel="0" collapsed="false">
      <c r="A85" s="8" t="s">
        <v>221</v>
      </c>
      <c r="B85" s="8" t="s">
        <v>49</v>
      </c>
      <c r="C85" s="8" t="n">
        <v>58</v>
      </c>
      <c r="D85" s="9" t="s">
        <v>222</v>
      </c>
      <c r="E85" s="9" t="s">
        <v>223</v>
      </c>
      <c r="F85" s="9" t="s">
        <v>26</v>
      </c>
      <c r="G85" s="10" t="s">
        <v>19</v>
      </c>
      <c r="H85" s="9" t="s">
        <v>20</v>
      </c>
      <c r="I85" s="6" t="s">
        <v>21</v>
      </c>
      <c r="J85" s="6" t="s">
        <v>21</v>
      </c>
      <c r="K85" s="6" t="s">
        <v>21</v>
      </c>
      <c r="L85" s="6" t="s">
        <v>21</v>
      </c>
      <c r="M85" s="6" t="s">
        <v>21</v>
      </c>
      <c r="N85" s="7" t="n">
        <f aca="false">COUNTIF(I85:M85,"Done")/5</f>
        <v>0</v>
      </c>
    </row>
    <row r="86" customFormat="false" ht="34.5" hidden="false" customHeight="true" outlineLevel="0" collapsed="false">
      <c r="A86" s="3" t="s">
        <v>224</v>
      </c>
      <c r="B86" s="3" t="s">
        <v>15</v>
      </c>
      <c r="C86" s="3" t="n">
        <v>59</v>
      </c>
      <c r="D86" s="4" t="s">
        <v>225</v>
      </c>
      <c r="E86" s="4" t="s">
        <v>226</v>
      </c>
      <c r="F86" s="4" t="s">
        <v>32</v>
      </c>
      <c r="G86" s="5" t="s">
        <v>19</v>
      </c>
      <c r="H86" s="4" t="s">
        <v>20</v>
      </c>
      <c r="I86" s="6" t="s">
        <v>21</v>
      </c>
      <c r="J86" s="6" t="s">
        <v>21</v>
      </c>
      <c r="K86" s="6" t="s">
        <v>21</v>
      </c>
      <c r="L86" s="6" t="s">
        <v>21</v>
      </c>
      <c r="M86" s="6" t="s">
        <v>21</v>
      </c>
      <c r="N86" s="7" t="n">
        <f aca="false">COUNTIF(I86:M86,"Done")/5</f>
        <v>0</v>
      </c>
    </row>
    <row r="87" customFormat="false" ht="34.5" hidden="false" customHeight="true" outlineLevel="0" collapsed="false">
      <c r="A87" s="8" t="s">
        <v>227</v>
      </c>
      <c r="B87" s="8" t="s">
        <v>23</v>
      </c>
      <c r="C87" s="8" t="n">
        <v>60</v>
      </c>
      <c r="D87" s="9" t="s">
        <v>228</v>
      </c>
      <c r="E87" s="9" t="s">
        <v>229</v>
      </c>
      <c r="F87" s="9" t="s">
        <v>114</v>
      </c>
      <c r="G87" s="10" t="s">
        <v>27</v>
      </c>
      <c r="H87" s="9" t="s">
        <v>20</v>
      </c>
      <c r="I87" s="6" t="s">
        <v>21</v>
      </c>
      <c r="J87" s="6" t="s">
        <v>21</v>
      </c>
      <c r="K87" s="6" t="s">
        <v>21</v>
      </c>
      <c r="L87" s="6" t="s">
        <v>21</v>
      </c>
      <c r="M87" s="6" t="s">
        <v>21</v>
      </c>
      <c r="N87" s="7" t="n">
        <f aca="false">COUNTIF(I87:M87,"Done")/5</f>
        <v>0</v>
      </c>
    </row>
  </sheetData>
  <conditionalFormatting sqref="I2:M87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"Skipped"</formula>
    </cfRule>
  </conditionalFormatting>
  <conditionalFormatting sqref="N2:N87">
    <cfRule type="cellIs" priority="6" operator="greaterThanOrEqual" aboveAverage="0" equalAverage="0" bottom="0" percent="0" rank="0" text="" dxfId="0">
      <formula>1</formula>
    </cfRule>
    <cfRule type="cellIs" priority="7" operator="between" aboveAverage="0" equalAverage="0" bottom="0" percent="0" rank="0" text="" dxfId="1">
      <formula>0.01</formula>
      <formula>0.99</formula>
    </cfRule>
    <cfRule type="cellIs" priority="8" operator="equal" aboveAverage="0" equalAverage="0" bottom="0" percent="0" rank="0" text="" dxfId="2">
      <formula>0</formula>
    </cfRule>
  </conditionalFormatting>
  <dataValidations count="1">
    <dataValidation allowBlank="true" errorStyle="stop" operator="between" showDropDown="false" showErrorMessage="false" showInputMessage="false" sqref="I2:M87" type="list">
      <formula1>"Done,In Progress,Not Started,Skipped"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6"/>
  </cols>
  <sheetData>
    <row r="1" customFormat="false" ht="21" hidden="false" customHeight="true" outlineLevel="0" collapsed="false">
      <c r="A1" s="13" t="s">
        <v>230</v>
      </c>
      <c r="B1" s="13"/>
      <c r="C1" s="13"/>
      <c r="D1" s="13"/>
      <c r="E1" s="13"/>
    </row>
    <row r="2" customFormat="false" ht="14.25" hidden="false" customHeight="true" outlineLevel="0" collapsed="false">
      <c r="A2" s="14" t="s">
        <v>231</v>
      </c>
      <c r="B2" s="14"/>
      <c r="C2" s="14"/>
      <c r="D2" s="14"/>
      <c r="E2" s="14"/>
    </row>
    <row r="4" customFormat="false" ht="14.25" hidden="false" customHeight="true" outlineLevel="0" collapsed="false">
      <c r="A4" s="15" t="s">
        <v>232</v>
      </c>
      <c r="B4" s="15" t="s">
        <v>233</v>
      </c>
      <c r="C4" s="15" t="s">
        <v>234</v>
      </c>
      <c r="D4" s="15" t="s">
        <v>21</v>
      </c>
      <c r="E4" s="15" t="s">
        <v>235</v>
      </c>
    </row>
    <row r="5" customFormat="false" ht="14.25" hidden="false" customHeight="true" outlineLevel="0" collapsed="false">
      <c r="A5" s="16" t="s">
        <v>236</v>
      </c>
      <c r="B5" s="17" t="n">
        <f aca="false">COUNTIF('60-Day Roadmap'!I2:I87,"Done")</f>
        <v>0</v>
      </c>
      <c r="C5" s="17" t="n">
        <f aca="false">COUNTIF('60-Day Roadmap'!I2:I87,"In Progress")</f>
        <v>0</v>
      </c>
      <c r="D5" s="17" t="n">
        <f aca="false">COUNTIF('60-Day Roadmap'!I2:I87,"Not Started")</f>
        <v>51</v>
      </c>
      <c r="E5" s="18" t="n">
        <f aca="false">IF((COUNTIF('60-Day Roadmap'!I2:I87,"Done")+COUNTIF('60-Day Roadmap'!I2:I87,"In Progress")+COUNTIF('60-Day Roadmap'!I2:I87,"Not Started"))=0,0,B5/(COUNTIF('60-Day Roadmap'!I2:I87,"Done")+COUNTIF('60-Day Roadmap'!I2:I87,"In Progress")+COUNTIF('60-Day Roadmap'!I2:I87,"Not Started")))</f>
        <v>0</v>
      </c>
    </row>
    <row r="6" customFormat="false" ht="14.25" hidden="false" customHeight="true" outlineLevel="0" collapsed="false">
      <c r="A6" s="16" t="s">
        <v>237</v>
      </c>
      <c r="B6" s="17" t="n">
        <f aca="false">COUNTIF('60-Day Roadmap'!J2:J87,"Done")</f>
        <v>0</v>
      </c>
      <c r="C6" s="17" t="n">
        <f aca="false">COUNTIF('60-Day Roadmap'!J2:J87,"In Progress")</f>
        <v>0</v>
      </c>
      <c r="D6" s="17" t="n">
        <f aca="false">COUNTIF('60-Day Roadmap'!J2:J87,"Not Started")</f>
        <v>51</v>
      </c>
      <c r="E6" s="18" t="n">
        <f aca="false">IF((COUNTIF('60-Day Roadmap'!J2:J87,"Done")+COUNTIF('60-Day Roadmap'!J2:J87,"In Progress")+COUNTIF('60-Day Roadmap'!J2:J87,"Not Started"))=0,0,B6/(COUNTIF('60-Day Roadmap'!J2:J87,"Done")+COUNTIF('60-Day Roadmap'!J2:J87,"In Progress")+COUNTIF('60-Day Roadmap'!J2:J87,"Not Started")))</f>
        <v>0</v>
      </c>
    </row>
    <row r="7" customFormat="false" ht="14.25" hidden="false" customHeight="true" outlineLevel="0" collapsed="false">
      <c r="A7" s="16" t="s">
        <v>238</v>
      </c>
      <c r="B7" s="17" t="n">
        <f aca="false">COUNTIF('60-Day Roadmap'!K2:K87,"Done")</f>
        <v>0</v>
      </c>
      <c r="C7" s="17" t="n">
        <f aca="false">COUNTIF('60-Day Roadmap'!K2:K87,"In Progress")</f>
        <v>0</v>
      </c>
      <c r="D7" s="17" t="n">
        <f aca="false">COUNTIF('60-Day Roadmap'!K2:K87,"Not Started")</f>
        <v>51</v>
      </c>
      <c r="E7" s="18" t="n">
        <f aca="false">IF((COUNTIF('60-Day Roadmap'!K2:K87,"Done")+COUNTIF('60-Day Roadmap'!K2:K87,"In Progress")+COUNTIF('60-Day Roadmap'!K2:K87,"Not Started"))=0,0,B7/(COUNTIF('60-Day Roadmap'!K2:K87,"Done")+COUNTIF('60-Day Roadmap'!K2:K87,"In Progress")+COUNTIF('60-Day Roadmap'!K2:K87,"Not Started")))</f>
        <v>0</v>
      </c>
    </row>
    <row r="8" customFormat="false" ht="14.25" hidden="false" customHeight="true" outlineLevel="0" collapsed="false">
      <c r="A8" s="16" t="s">
        <v>239</v>
      </c>
      <c r="B8" s="17" t="n">
        <f aca="false">COUNTIF('60-Day Roadmap'!L2:L87,"Done")</f>
        <v>0</v>
      </c>
      <c r="C8" s="17" t="n">
        <f aca="false">COUNTIF('60-Day Roadmap'!L2:L87,"In Progress")</f>
        <v>0</v>
      </c>
      <c r="D8" s="17" t="n">
        <f aca="false">COUNTIF('60-Day Roadmap'!L2:L87,"Not Started")</f>
        <v>51</v>
      </c>
      <c r="E8" s="18" t="n">
        <f aca="false">IF((COUNTIF('60-Day Roadmap'!L2:L87,"Done")+COUNTIF('60-Day Roadmap'!L2:L87,"In Progress")+COUNTIF('60-Day Roadmap'!L2:L87,"Not Started"))=0,0,B8/(COUNTIF('60-Day Roadmap'!L2:L87,"Done")+COUNTIF('60-Day Roadmap'!L2:L87,"In Progress")+COUNTIF('60-Day Roadmap'!L2:L87,"Not Started")))</f>
        <v>0</v>
      </c>
    </row>
    <row r="9" customFormat="false" ht="14.25" hidden="false" customHeight="true" outlineLevel="0" collapsed="false">
      <c r="A9" s="16" t="s">
        <v>240</v>
      </c>
      <c r="B9" s="17" t="n">
        <f aca="false">COUNTIF('60-Day Roadmap'!M2:M87,"Done")</f>
        <v>0</v>
      </c>
      <c r="C9" s="17" t="n">
        <f aca="false">COUNTIF('60-Day Roadmap'!M2:M87,"In Progress")</f>
        <v>0</v>
      </c>
      <c r="D9" s="17" t="n">
        <f aca="false">COUNTIF('60-Day Roadmap'!M2:M87,"Not Started")</f>
        <v>51</v>
      </c>
      <c r="E9" s="18" t="n">
        <f aca="false">IF((COUNTIF('60-Day Roadmap'!M2:M87,"Done")+COUNTIF('60-Day Roadmap'!M2:M87,"In Progress")+COUNTIF('60-Day Roadmap'!M2:M87,"Not Started"))=0,0,B9/(COUNTIF('60-Day Roadmap'!M2:M87,"Done")+COUNTIF('60-Day Roadmap'!M2:M87,"In Progress")+COUNTIF('60-Day Roadmap'!M2:M87,"Not Started")))</f>
        <v>0</v>
      </c>
    </row>
    <row r="11" customFormat="false" ht="15" hidden="false" customHeight="true" outlineLevel="0" collapsed="false">
      <c r="A11" s="19" t="s">
        <v>241</v>
      </c>
      <c r="B11" s="20" t="n">
        <f aca="false">SUM(B5:B9)</f>
        <v>0</v>
      </c>
      <c r="C11" s="20" t="n">
        <f aca="false">SUM(C5:C9)</f>
        <v>0</v>
      </c>
      <c r="D11" s="20" t="n">
        <f aca="false">SUM(D5:D9)</f>
        <v>255</v>
      </c>
      <c r="E11" s="21" t="n">
        <f aca="false">IF((B11+C11+D11)=0,0,B11/(B11+C11+D11))</f>
        <v>0</v>
      </c>
    </row>
    <row r="14" customFormat="false" ht="14.25" hidden="false" customHeight="true" outlineLevel="0" collapsed="false">
      <c r="A14" s="22" t="s">
        <v>242</v>
      </c>
      <c r="B14" s="16" t="n">
        <f aca="false">COUNTIF('60-Day Roadmap'!N2:N87,1)</f>
        <v>0</v>
      </c>
    </row>
    <row r="15" customFormat="false" ht="14.25" hidden="false" customHeight="true" outlineLevel="0" collapsed="false">
      <c r="A15" s="22" t="s">
        <v>243</v>
      </c>
      <c r="B15" s="16" t="n">
        <f aca="false">COUNTIF('60-Day Roadmap'!C2:C87,"&gt;0")</f>
        <v>60</v>
      </c>
    </row>
    <row r="16" customFormat="false" ht="14.25" hidden="false" customHeight="true" outlineLevel="0" collapsed="false">
      <c r="A16" s="22" t="s">
        <v>244</v>
      </c>
      <c r="B16" s="16" t="n">
        <f aca="false">COUNTIF('60-Day Roadmap'!I2:I87,"Skipped")</f>
        <v>35</v>
      </c>
    </row>
    <row r="17" customFormat="false" ht="14.25" hidden="false" customHeight="true" outlineLevel="0" collapsed="false">
      <c r="A17" s="22" t="s">
        <v>245</v>
      </c>
      <c r="B17" s="23" t="n">
        <f aca="false">AVERAGE('60-Day Roadmap'!N2:N87)</f>
        <v>0</v>
      </c>
    </row>
    <row r="20" customFormat="false" ht="15" hidden="false" customHeight="true" outlineLevel="0" collapsed="false">
      <c r="A20" s="24" t="s">
        <v>246</v>
      </c>
      <c r="B20" s="24"/>
      <c r="C20" s="24"/>
      <c r="D20" s="24"/>
      <c r="E20" s="24"/>
    </row>
    <row r="21" customFormat="false" ht="14.25" hidden="false" customHeight="true" outlineLevel="0" collapsed="false">
      <c r="A21" s="24"/>
      <c r="B21" s="24"/>
      <c r="C21" s="24"/>
      <c r="D21" s="24"/>
      <c r="E21" s="24"/>
    </row>
    <row r="22" customFormat="false" ht="14.25" hidden="false" customHeight="true" outlineLevel="0" collapsed="false">
      <c r="A22" s="24"/>
      <c r="B22" s="24"/>
      <c r="C22" s="24"/>
      <c r="D22" s="24"/>
      <c r="E22" s="24"/>
    </row>
    <row r="24" customFormat="false" ht="21.75" hidden="false" customHeight="true" outlineLevel="0" collapsed="false">
      <c r="A24" s="25" t="s">
        <v>247</v>
      </c>
      <c r="B24" s="25"/>
      <c r="C24" s="25"/>
      <c r="D24" s="25"/>
      <c r="E24" s="25"/>
    </row>
    <row r="25" customFormat="false" ht="14.25" hidden="false" customHeight="true" outlineLevel="0" collapsed="false">
      <c r="A25" s="16" t="s">
        <v>248</v>
      </c>
      <c r="B25" s="22" t="str">
        <f aca="true">TEXT(TODAY(),"ddd, dd-mmm-yyyy")</f>
        <v>Wed, 12-Aug-2026</v>
      </c>
    </row>
    <row r="26" customFormat="false" ht="14.25" hidden="false" customHeight="true" outlineLevel="0" collapsed="false">
      <c r="A26" s="16" t="s">
        <v>249</v>
      </c>
      <c r="B26" s="22" t="str">
        <f aca="true">IFERROR(INDEX('60-Day Roadmap'!C:C,MATCH(TEXT(TODAY(),"dd-mmm-yyyy"),'60-Day Roadmap'!A:A,0)),"No entry for today")</f>
        <v>No entry for today</v>
      </c>
    </row>
    <row r="27" customFormat="false" ht="14.25" hidden="false" customHeight="true" outlineLevel="0" collapsed="false">
      <c r="A27" s="16" t="s">
        <v>250</v>
      </c>
      <c r="B27" s="26" t="str">
        <f aca="true">IFERROR(INDEX('60-Day Roadmap'!N:N,MATCH(TEXT(TODAY(),"dd-mmm-yyyy"),'60-Day Roadmap'!A:A,0)),"")</f>
        <v/>
      </c>
    </row>
    <row r="29" customFormat="false" ht="14.25" hidden="false" customHeight="true" outlineLevel="0" collapsed="false">
      <c r="A29" s="27" t="s">
        <v>232</v>
      </c>
      <c r="B29" s="27" t="s">
        <v>251</v>
      </c>
      <c r="C29" s="27" t="s">
        <v>252</v>
      </c>
      <c r="D29" s="27"/>
      <c r="E29" s="27"/>
    </row>
    <row r="30" customFormat="false" ht="30" hidden="false" customHeight="true" outlineLevel="0" collapsed="false">
      <c r="A30" s="28" t="s">
        <v>236</v>
      </c>
      <c r="B30" s="29" t="str">
        <f aca="true">IFERROR(INDEX('60-Day Roadmap'!D:D,MATCH(TEXT(TODAY(),"dd-mmm-yyyy"),'60-Day Roadmap'!A:A,0)),"-")</f>
        <v>-</v>
      </c>
      <c r="C30" s="30" t="str">
        <f aca="true">IFERROR(INDEX('60-Day Roadmap'!I:I,MATCH(TEXT(TODAY(),"dd-mmm-yyyy"),'60-Day Roadmap'!A:A,0)),"-")</f>
        <v>-</v>
      </c>
      <c r="D30" s="30"/>
      <c r="E30" s="31"/>
    </row>
    <row r="31" customFormat="false" ht="30" hidden="false" customHeight="true" outlineLevel="0" collapsed="false">
      <c r="A31" s="28" t="s">
        <v>237</v>
      </c>
      <c r="B31" s="29" t="str">
        <f aca="true">IFERROR(INDEX('60-Day Roadmap'!E:E,MATCH(TEXT(TODAY(),"dd-mmm-yyyy"),'60-Day Roadmap'!A:A,0)),"-")</f>
        <v>-</v>
      </c>
      <c r="C31" s="30" t="str">
        <f aca="true">IFERROR(INDEX('60-Day Roadmap'!J:J,MATCH(TEXT(TODAY(),"dd-mmm-yyyy"),'60-Day Roadmap'!A:A,0)),"-")</f>
        <v>-</v>
      </c>
      <c r="D31" s="30"/>
      <c r="E31" s="31"/>
    </row>
    <row r="32" customFormat="false" ht="30" hidden="false" customHeight="true" outlineLevel="0" collapsed="false">
      <c r="A32" s="28" t="s">
        <v>238</v>
      </c>
      <c r="B32" s="29" t="str">
        <f aca="true">IFERROR(INDEX('60-Day Roadmap'!F:F,MATCH(TEXT(TODAY(),"dd-mmm-yyyy"),'60-Day Roadmap'!A:A,0)),"-")</f>
        <v>-</v>
      </c>
      <c r="C32" s="30" t="str">
        <f aca="true">IFERROR(INDEX('60-Day Roadmap'!K:K,MATCH(TEXT(TODAY(),"dd-mmm-yyyy"),'60-Day Roadmap'!A:A,0)),"-")</f>
        <v>-</v>
      </c>
      <c r="D32" s="30"/>
      <c r="E32" s="31"/>
    </row>
    <row r="33" customFormat="false" ht="30" hidden="false" customHeight="true" outlineLevel="0" collapsed="false">
      <c r="A33" s="28" t="s">
        <v>239</v>
      </c>
      <c r="B33" s="29" t="str">
        <f aca="true">IFERROR(INDEX('60-Day Roadmap'!G:G,MATCH(TEXT(TODAY(),"dd-mmm-yyyy"),'60-Day Roadmap'!A:A,0)),"-")</f>
        <v>-</v>
      </c>
      <c r="C33" s="30" t="str">
        <f aca="true">IFERROR(INDEX('60-Day Roadmap'!L:L,MATCH(TEXT(TODAY(),"dd-mmm-yyyy"),'60-Day Roadmap'!A:A,0)),"-")</f>
        <v>-</v>
      </c>
      <c r="D33" s="30"/>
      <c r="E33" s="31"/>
    </row>
    <row r="34" customFormat="false" ht="30" hidden="false" customHeight="true" outlineLevel="0" collapsed="false">
      <c r="A34" s="28" t="s">
        <v>240</v>
      </c>
      <c r="B34" s="29" t="str">
        <f aca="true">IFERROR(INDEX('60-Day Roadmap'!H:H,MATCH(TEXT(TODAY(),"dd-mmm-yyyy"),'60-Day Roadmap'!A:A,0)),"-")</f>
        <v>-</v>
      </c>
      <c r="C34" s="30" t="str">
        <f aca="true">IFERROR(INDEX('60-Day Roadmap'!M:M,MATCH(TEXT(TODAY(),"dd-mmm-yyyy"),'60-Day Roadmap'!A:A,0)),"-")</f>
        <v>-</v>
      </c>
      <c r="D34" s="30"/>
      <c r="E34" s="31"/>
    </row>
    <row r="36" customFormat="false" ht="23.25" hidden="false" customHeight="true" outlineLevel="0" collapsed="false">
      <c r="A36" s="24" t="s">
        <v>253</v>
      </c>
      <c r="B36" s="24"/>
      <c r="C36" s="24"/>
      <c r="D36" s="24"/>
      <c r="E36" s="24"/>
    </row>
  </sheetData>
  <mergeCells count="11">
    <mergeCell ref="A1:E1"/>
    <mergeCell ref="A2:E2"/>
    <mergeCell ref="A20:E22"/>
    <mergeCell ref="A24:E24"/>
    <mergeCell ref="C29:E29"/>
    <mergeCell ref="C30:D30"/>
    <mergeCell ref="C31:D31"/>
    <mergeCell ref="C32:D32"/>
    <mergeCell ref="C33:D33"/>
    <mergeCell ref="C34:D34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00"/>
  </cols>
  <sheetData>
    <row r="1" customFormat="false" ht="24" hidden="false" customHeight="true" outlineLevel="0" collapsed="false">
      <c r="A1" s="32" t="s">
        <v>254</v>
      </c>
    </row>
    <row r="2" customFormat="false" ht="18" hidden="false" customHeight="true" outlineLevel="0" collapsed="false">
      <c r="A2" s="33" t="s">
        <v>255</v>
      </c>
    </row>
    <row r="3" customFormat="false" ht="18" hidden="false" customHeight="true" outlineLevel="0" collapsed="false">
      <c r="A3" s="34" t="s">
        <v>256</v>
      </c>
    </row>
    <row r="4" customFormat="false" ht="18" hidden="false" customHeight="true" outlineLevel="0" collapsed="false">
      <c r="A4" s="34" t="s">
        <v>257</v>
      </c>
    </row>
    <row r="5" customFormat="false" ht="18" hidden="false" customHeight="true" outlineLevel="0" collapsed="false">
      <c r="A5" s="34" t="s">
        <v>258</v>
      </c>
    </row>
    <row r="6" customFormat="false" ht="18" hidden="false" customHeight="true" outlineLevel="0" collapsed="false">
      <c r="A6" s="34" t="s">
        <v>259</v>
      </c>
    </row>
    <row r="7" customFormat="false" ht="18" hidden="false" customHeight="true" outlineLevel="0" collapsed="false">
      <c r="A7" s="34" t="s">
        <v>260</v>
      </c>
    </row>
    <row r="8" customFormat="false" ht="18" hidden="false" customHeight="true" outlineLevel="0" collapsed="false">
      <c r="A8" s="34" t="s">
        <v>261</v>
      </c>
    </row>
    <row r="9" customFormat="false" ht="18" hidden="false" customHeight="true" outlineLevel="0" collapsed="false">
      <c r="A9" s="34" t="s">
        <v>262</v>
      </c>
    </row>
    <row r="10" customFormat="false" ht="18" hidden="false" customHeight="true" outlineLevel="0" collapsed="false">
      <c r="A10" s="33" t="s">
        <v>263</v>
      </c>
    </row>
    <row r="11" customFormat="false" ht="24" hidden="false" customHeight="true" outlineLevel="0" collapsed="false">
      <c r="A11" s="32" t="s">
        <v>264</v>
      </c>
    </row>
    <row r="12" customFormat="false" ht="18" hidden="false" customHeight="true" outlineLevel="0" collapsed="false">
      <c r="A12" s="34" t="s">
        <v>265</v>
      </c>
    </row>
    <row r="13" customFormat="false" ht="18" hidden="false" customHeight="true" outlineLevel="0" collapsed="false">
      <c r="A13" s="34" t="s">
        <v>266</v>
      </c>
    </row>
    <row r="14" customFormat="false" ht="18" hidden="false" customHeight="true" outlineLevel="0" collapsed="false">
      <c r="A14" s="34" t="s">
        <v>267</v>
      </c>
    </row>
    <row r="15" customFormat="false" ht="18" hidden="false" customHeight="true" outlineLevel="0" collapsed="false">
      <c r="A15" s="34" t="s">
        <v>268</v>
      </c>
    </row>
    <row r="16" customFormat="false" ht="18" hidden="false" customHeight="true" outlineLevel="0" collapsed="false">
      <c r="A16" s="34" t="s">
        <v>269</v>
      </c>
    </row>
    <row r="17" customFormat="false" ht="18" hidden="false" customHeight="true" outlineLevel="0" collapsed="false">
      <c r="A17" s="34"/>
    </row>
    <row r="18" customFormat="false" ht="18" hidden="false" customHeight="true" outlineLevel="0" collapsed="false">
      <c r="A18" s="34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30"/>
  </cols>
  <sheetData>
    <row r="1" customFormat="false" ht="30" hidden="false" customHeight="true" outlineLevel="0" collapsed="false">
      <c r="A1" s="2" t="s">
        <v>271</v>
      </c>
      <c r="B1" s="2" t="s">
        <v>272</v>
      </c>
      <c r="C1" s="2" t="s">
        <v>273</v>
      </c>
      <c r="D1" s="2" t="s">
        <v>274</v>
      </c>
      <c r="E1" s="2" t="s">
        <v>275</v>
      </c>
      <c r="F1" s="2" t="s">
        <v>252</v>
      </c>
      <c r="G1" s="2" t="s">
        <v>276</v>
      </c>
      <c r="H1" s="2" t="s">
        <v>277</v>
      </c>
    </row>
    <row r="2" customFormat="false" ht="33.75" hidden="false" customHeight="true" outlineLevel="0" collapsed="false">
      <c r="A2" s="35" t="n">
        <v>1</v>
      </c>
      <c r="B2" s="36" t="s">
        <v>278</v>
      </c>
      <c r="C2" s="36" t="s">
        <v>279</v>
      </c>
      <c r="D2" s="35" t="n">
        <v>25</v>
      </c>
      <c r="E2" s="36" t="s">
        <v>280</v>
      </c>
      <c r="F2" s="37" t="s">
        <v>21</v>
      </c>
      <c r="G2" s="37"/>
      <c r="H2" s="36"/>
    </row>
    <row r="3" customFormat="false" ht="33.75" hidden="false" customHeight="true" outlineLevel="0" collapsed="false">
      <c r="A3" s="35" t="n">
        <v>2</v>
      </c>
      <c r="B3" s="36" t="s">
        <v>281</v>
      </c>
      <c r="C3" s="36" t="s">
        <v>282</v>
      </c>
      <c r="D3" s="35" t="n">
        <v>3</v>
      </c>
      <c r="E3" s="36" t="s">
        <v>283</v>
      </c>
      <c r="F3" s="37" t="s">
        <v>21</v>
      </c>
      <c r="G3" s="37"/>
      <c r="H3" s="36"/>
    </row>
    <row r="4" customFormat="false" ht="33.75" hidden="false" customHeight="true" outlineLevel="0" collapsed="false">
      <c r="A4" s="35" t="n">
        <v>3</v>
      </c>
      <c r="B4" s="36" t="s">
        <v>284</v>
      </c>
      <c r="C4" s="36" t="s">
        <v>285</v>
      </c>
      <c r="D4" s="35" t="n">
        <v>2</v>
      </c>
      <c r="E4" s="36" t="s">
        <v>286</v>
      </c>
      <c r="F4" s="37" t="s">
        <v>21</v>
      </c>
      <c r="G4" s="37"/>
      <c r="H4" s="36"/>
    </row>
    <row r="5" customFormat="false" ht="33.75" hidden="false" customHeight="true" outlineLevel="0" collapsed="false">
      <c r="A5" s="35" t="n">
        <v>4</v>
      </c>
      <c r="B5" s="36" t="s">
        <v>287</v>
      </c>
      <c r="C5" s="36" t="s">
        <v>288</v>
      </c>
      <c r="D5" s="35" t="n">
        <v>15</v>
      </c>
      <c r="E5" s="36" t="s">
        <v>289</v>
      </c>
      <c r="F5" s="37" t="s">
        <v>21</v>
      </c>
      <c r="G5" s="37"/>
      <c r="H5" s="36"/>
    </row>
    <row r="6" customFormat="false" ht="33.75" hidden="false" customHeight="true" outlineLevel="0" collapsed="false">
      <c r="A6" s="35" t="n">
        <v>5</v>
      </c>
      <c r="B6" s="36" t="s">
        <v>290</v>
      </c>
      <c r="C6" s="36" t="s">
        <v>291</v>
      </c>
      <c r="D6" s="35" t="n">
        <v>15</v>
      </c>
      <c r="E6" s="36" t="s">
        <v>292</v>
      </c>
      <c r="F6" s="37" t="s">
        <v>21</v>
      </c>
      <c r="G6" s="37"/>
      <c r="H6" s="36"/>
    </row>
    <row r="7" customFormat="false" ht="33.75" hidden="false" customHeight="true" outlineLevel="0" collapsed="false">
      <c r="A7" s="35" t="n">
        <v>6</v>
      </c>
      <c r="B7" s="36" t="s">
        <v>293</v>
      </c>
      <c r="C7" s="36" t="s">
        <v>294</v>
      </c>
      <c r="D7" s="35" t="n">
        <v>20</v>
      </c>
      <c r="E7" s="36" t="s">
        <v>295</v>
      </c>
      <c r="F7" s="37" t="s">
        <v>21</v>
      </c>
      <c r="G7" s="37"/>
      <c r="H7" s="36"/>
    </row>
    <row r="8" customFormat="false" ht="33.75" hidden="false" customHeight="true" outlineLevel="0" collapsed="false">
      <c r="A8" s="35" t="n">
        <v>7</v>
      </c>
      <c r="B8" s="36" t="s">
        <v>296</v>
      </c>
      <c r="C8" s="36" t="s">
        <v>297</v>
      </c>
      <c r="D8" s="35" t="n">
        <v>15</v>
      </c>
      <c r="E8" s="36" t="s">
        <v>298</v>
      </c>
      <c r="F8" s="37" t="s">
        <v>21</v>
      </c>
      <c r="G8" s="37"/>
      <c r="H8" s="36"/>
    </row>
    <row r="9" customFormat="false" ht="33.75" hidden="false" customHeight="true" outlineLevel="0" collapsed="false">
      <c r="A9" s="35" t="n">
        <v>8</v>
      </c>
      <c r="B9" s="36" t="s">
        <v>299</v>
      </c>
      <c r="C9" s="36" t="s">
        <v>300</v>
      </c>
      <c r="D9" s="35" t="n">
        <v>0</v>
      </c>
      <c r="E9" s="36" t="s">
        <v>301</v>
      </c>
      <c r="F9" s="37" t="s">
        <v>21</v>
      </c>
      <c r="G9" s="37"/>
      <c r="H9" s="36"/>
    </row>
    <row r="10" customFormat="false" ht="33.75" hidden="false" customHeight="true" outlineLevel="0" collapsed="false">
      <c r="A10" s="35" t="n">
        <v>9</v>
      </c>
      <c r="B10" s="36" t="s">
        <v>302</v>
      </c>
      <c r="C10" s="36" t="s">
        <v>303</v>
      </c>
      <c r="D10" s="35" t="n">
        <v>15</v>
      </c>
      <c r="E10" s="36" t="s">
        <v>304</v>
      </c>
      <c r="F10" s="37" t="s">
        <v>21</v>
      </c>
      <c r="G10" s="37"/>
      <c r="H10" s="36"/>
    </row>
    <row r="11" customFormat="false" ht="33.75" hidden="false" customHeight="true" outlineLevel="0" collapsed="false">
      <c r="A11" s="35" t="n">
        <v>10</v>
      </c>
      <c r="B11" s="36" t="s">
        <v>305</v>
      </c>
      <c r="C11" s="36" t="s">
        <v>306</v>
      </c>
      <c r="D11" s="35" t="n">
        <v>20</v>
      </c>
      <c r="E11" s="36" t="s">
        <v>307</v>
      </c>
      <c r="F11" s="37" t="s">
        <v>21</v>
      </c>
      <c r="G11" s="37"/>
      <c r="H11" s="36"/>
    </row>
    <row r="12" customFormat="false" ht="33.75" hidden="false" customHeight="true" outlineLevel="0" collapsed="false">
      <c r="A12" s="35" t="n">
        <v>11</v>
      </c>
      <c r="B12" s="36" t="s">
        <v>308</v>
      </c>
      <c r="C12" s="36" t="s">
        <v>309</v>
      </c>
      <c r="D12" s="35" t="n">
        <v>15</v>
      </c>
      <c r="E12" s="36" t="s">
        <v>310</v>
      </c>
      <c r="F12" s="37" t="s">
        <v>21</v>
      </c>
      <c r="G12" s="37"/>
      <c r="H12" s="36"/>
    </row>
    <row r="13" customFormat="false" ht="33.75" hidden="false" customHeight="true" outlineLevel="0" collapsed="false">
      <c r="A13" s="35" t="n">
        <v>12</v>
      </c>
      <c r="B13" s="36" t="s">
        <v>311</v>
      </c>
      <c r="C13" s="36" t="s">
        <v>312</v>
      </c>
      <c r="D13" s="35" t="n">
        <v>15</v>
      </c>
      <c r="E13" s="36" t="s">
        <v>313</v>
      </c>
      <c r="F13" s="37" t="s">
        <v>21</v>
      </c>
      <c r="G13" s="37"/>
      <c r="H13" s="36"/>
    </row>
    <row r="14" customFormat="false" ht="15" hidden="false" customHeight="true" outlineLevel="0" collapsed="false">
      <c r="A14" s="38"/>
      <c r="B14" s="39" t="s">
        <v>314</v>
      </c>
      <c r="C14" s="38"/>
      <c r="D14" s="39" t="n">
        <f aca="false">SUM(D2:D13)</f>
        <v>160</v>
      </c>
      <c r="E14" s="38"/>
      <c r="F14" s="38"/>
      <c r="G14" s="39" t="n">
        <f aca="false">SUM(G2:G13)</f>
        <v>0</v>
      </c>
      <c r="H14" s="3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4" min="3" style="1" width="34"/>
    <col collapsed="false" customWidth="true" hidden="false" outlineLevel="0" max="5" min="5" style="1" width="20"/>
    <col collapsed="false" customWidth="true" hidden="false" outlineLevel="0" max="7" min="6" style="1" width="14"/>
  </cols>
  <sheetData>
    <row r="1" customFormat="false" ht="30" hidden="false" customHeight="true" outlineLevel="0" collapsed="false">
      <c r="A1" s="2" t="s">
        <v>315</v>
      </c>
      <c r="B1" s="2" t="s">
        <v>316</v>
      </c>
      <c r="C1" s="2" t="s">
        <v>317</v>
      </c>
      <c r="D1" s="2" t="s">
        <v>318</v>
      </c>
      <c r="E1" s="2" t="s">
        <v>319</v>
      </c>
      <c r="F1" s="2" t="s">
        <v>320</v>
      </c>
      <c r="G1" s="2" t="s">
        <v>321</v>
      </c>
    </row>
    <row r="2" customFormat="false" ht="33.75" hidden="false" customHeight="true" outlineLevel="0" collapsed="false">
      <c r="A2" s="35" t="s">
        <v>322</v>
      </c>
      <c r="B2" s="35" t="s">
        <v>323</v>
      </c>
      <c r="C2" s="36" t="s">
        <v>324</v>
      </c>
      <c r="D2" s="36" t="s">
        <v>324</v>
      </c>
      <c r="E2" s="35" t="s">
        <v>325</v>
      </c>
      <c r="F2" s="37" t="s">
        <v>21</v>
      </c>
      <c r="G2" s="37" t="s">
        <v>21</v>
      </c>
    </row>
    <row r="3" customFormat="false" ht="33.75" hidden="false" customHeight="true" outlineLevel="0" collapsed="false">
      <c r="A3" s="35" t="s">
        <v>326</v>
      </c>
      <c r="B3" s="35" t="s">
        <v>327</v>
      </c>
      <c r="C3" s="36" t="s">
        <v>328</v>
      </c>
      <c r="D3" s="36" t="s">
        <v>328</v>
      </c>
      <c r="E3" s="35" t="s">
        <v>325</v>
      </c>
      <c r="F3" s="37" t="s">
        <v>21</v>
      </c>
      <c r="G3" s="37" t="s">
        <v>21</v>
      </c>
    </row>
    <row r="4" customFormat="false" ht="33.75" hidden="false" customHeight="true" outlineLevel="0" collapsed="false">
      <c r="A4" s="35" t="s">
        <v>329</v>
      </c>
      <c r="B4" s="35" t="s">
        <v>330</v>
      </c>
      <c r="C4" s="36" t="s">
        <v>331</v>
      </c>
      <c r="D4" s="36" t="s">
        <v>331</v>
      </c>
      <c r="E4" s="35" t="s">
        <v>332</v>
      </c>
      <c r="F4" s="37" t="s">
        <v>21</v>
      </c>
      <c r="G4" s="37" t="s">
        <v>21</v>
      </c>
    </row>
    <row r="5" customFormat="false" ht="33.75" hidden="false" customHeight="true" outlineLevel="0" collapsed="false">
      <c r="A5" s="35" t="s">
        <v>333</v>
      </c>
      <c r="B5" s="35" t="s">
        <v>334</v>
      </c>
      <c r="C5" s="36" t="s">
        <v>335</v>
      </c>
      <c r="D5" s="36" t="s">
        <v>336</v>
      </c>
      <c r="E5" s="35" t="s">
        <v>325</v>
      </c>
      <c r="F5" s="37" t="s">
        <v>21</v>
      </c>
      <c r="G5" s="37" t="s">
        <v>21</v>
      </c>
    </row>
    <row r="6" customFormat="false" ht="33.75" hidden="false" customHeight="true" outlineLevel="0" collapsed="false">
      <c r="A6" s="35" t="s">
        <v>337</v>
      </c>
      <c r="B6" s="35" t="s">
        <v>338</v>
      </c>
      <c r="C6" s="36" t="s">
        <v>339</v>
      </c>
      <c r="D6" s="36" t="s">
        <v>340</v>
      </c>
      <c r="E6" s="35" t="s">
        <v>325</v>
      </c>
      <c r="F6" s="37" t="s">
        <v>21</v>
      </c>
      <c r="G6" s="37" t="s">
        <v>21</v>
      </c>
    </row>
    <row r="7" customFormat="false" ht="33.75" hidden="false" customHeight="true" outlineLevel="0" collapsed="false">
      <c r="A7" s="35" t="s">
        <v>341</v>
      </c>
      <c r="B7" s="35" t="s">
        <v>342</v>
      </c>
      <c r="C7" s="36" t="s">
        <v>343</v>
      </c>
      <c r="D7" s="36" t="s">
        <v>339</v>
      </c>
      <c r="E7" s="35" t="s">
        <v>325</v>
      </c>
      <c r="F7" s="37" t="s">
        <v>21</v>
      </c>
      <c r="G7" s="37" t="s">
        <v>21</v>
      </c>
    </row>
    <row r="8" customFormat="false" ht="33.75" hidden="false" customHeight="true" outlineLevel="0" collapsed="false">
      <c r="A8" s="35" t="s">
        <v>344</v>
      </c>
      <c r="B8" s="35" t="s">
        <v>345</v>
      </c>
      <c r="C8" s="36" t="s">
        <v>346</v>
      </c>
      <c r="D8" s="36" t="s">
        <v>347</v>
      </c>
      <c r="E8" s="35" t="s">
        <v>325</v>
      </c>
      <c r="F8" s="37" t="s">
        <v>21</v>
      </c>
      <c r="G8" s="3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2026-08-09T14:02:45Z</dcterms:created>
  <dc:creator>openpyxl</dc:creator>
  <dc:description/>
  <dc:language>en-US</dc:language>
  <cp:lastModifiedBy>Lakshanadevi M</cp:lastModifiedBy>
  <dcterms:modified xsi:type="dcterms:W3CDTF">2026-08-12T14:04:37Z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